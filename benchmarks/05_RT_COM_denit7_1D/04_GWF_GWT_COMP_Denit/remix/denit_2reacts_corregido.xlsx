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ggi\Documents\GitSites\RTWMA\benchmarks\03_wma\04_GWF_GWT_COMP_Denit\remix\"/>
    </mc:Choice>
  </mc:AlternateContent>
  <xr:revisionPtr revIDLastSave="0" documentId="13_ncr:1_{447AB435-C8F2-4C91-8D25-018B8AEDC208}" xr6:coauthVersionLast="47" xr6:coauthVersionMax="47" xr10:uidLastSave="{00000000-0000-0000-0000-000000000000}"/>
  <bookViews>
    <workbookView xWindow="-110" yWindow="-110" windowWidth="25820" windowHeight="13900" activeTab="5" xr2:uid="{8912D97B-20A6-4C0E-B69A-E7A3C8210E86}"/>
  </bookViews>
  <sheets>
    <sheet name="README" sheetId="6" r:id="rId1"/>
    <sheet name="transport" sheetId="1" r:id="rId2"/>
    <sheet name="lambdas" sheetId="9" r:id="rId3"/>
    <sheet name="chem" sheetId="7" r:id="rId4"/>
    <sheet name="wat types" sheetId="8" r:id="rId5"/>
    <sheet name="results" sheetId="3" r:id="rId6"/>
    <sheet name="figur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7" l="1"/>
  <c r="E28" i="7"/>
  <c r="F28" i="7"/>
  <c r="G28" i="7"/>
  <c r="H28" i="7"/>
  <c r="I28" i="7"/>
  <c r="J28" i="7"/>
  <c r="K28" i="7"/>
  <c r="C28" i="7"/>
  <c r="H4" i="1"/>
  <c r="Q38" i="3"/>
  <c r="P38" i="3"/>
  <c r="O38" i="3"/>
  <c r="N38" i="3"/>
  <c r="M38" i="3"/>
  <c r="L38" i="3"/>
  <c r="Q23" i="3"/>
  <c r="P23" i="3"/>
  <c r="O23" i="3"/>
  <c r="N23" i="3"/>
  <c r="M23" i="3"/>
  <c r="L23" i="3"/>
  <c r="L4" i="1"/>
  <c r="L2" i="1"/>
  <c r="L1" i="1"/>
  <c r="U94" i="3"/>
  <c r="T94" i="3"/>
  <c r="S94" i="3"/>
  <c r="R94" i="3"/>
  <c r="Q94" i="3"/>
  <c r="P94" i="3"/>
  <c r="O94" i="3"/>
  <c r="N94" i="3"/>
  <c r="M94" i="3"/>
  <c r="L94" i="3"/>
  <c r="U93" i="3"/>
  <c r="T93" i="3"/>
  <c r="S93" i="3"/>
  <c r="R93" i="3"/>
  <c r="Q93" i="3"/>
  <c r="P93" i="3"/>
  <c r="O93" i="3"/>
  <c r="N93" i="3"/>
  <c r="M93" i="3"/>
  <c r="L93" i="3"/>
  <c r="A89" i="3"/>
  <c r="A88" i="3"/>
  <c r="A87" i="3"/>
  <c r="A86" i="3"/>
  <c r="A85" i="3"/>
  <c r="A84" i="3"/>
  <c r="A83" i="3"/>
  <c r="A82" i="3"/>
  <c r="A81" i="3"/>
  <c r="U79" i="3"/>
  <c r="T79" i="3"/>
  <c r="S79" i="3"/>
  <c r="R79" i="3"/>
  <c r="Q79" i="3"/>
  <c r="P79" i="3"/>
  <c r="O79" i="3"/>
  <c r="N79" i="3"/>
  <c r="M79" i="3"/>
  <c r="L79" i="3"/>
  <c r="U78" i="3"/>
  <c r="T78" i="3"/>
  <c r="S78" i="3"/>
  <c r="R78" i="3"/>
  <c r="Q78" i="3"/>
  <c r="P78" i="3"/>
  <c r="O78" i="3"/>
  <c r="N78" i="3"/>
  <c r="M78" i="3"/>
  <c r="L78" i="3"/>
  <c r="A74" i="3"/>
  <c r="A73" i="3"/>
  <c r="A72" i="3"/>
  <c r="A71" i="3"/>
  <c r="A70" i="3"/>
  <c r="A69" i="3"/>
  <c r="A68" i="3"/>
  <c r="A67" i="3"/>
  <c r="A66" i="3"/>
  <c r="U64" i="3"/>
  <c r="T64" i="3"/>
  <c r="S64" i="3"/>
  <c r="R64" i="3"/>
  <c r="Q64" i="3"/>
  <c r="P64" i="3"/>
  <c r="O64" i="3"/>
  <c r="N64" i="3"/>
  <c r="M64" i="3"/>
  <c r="L64" i="3"/>
  <c r="U63" i="3"/>
  <c r="T63" i="3"/>
  <c r="S63" i="3"/>
  <c r="R63" i="3"/>
  <c r="Q63" i="3"/>
  <c r="P63" i="3"/>
  <c r="O63" i="3"/>
  <c r="N63" i="3"/>
  <c r="M63" i="3"/>
  <c r="L63" i="3"/>
  <c r="A59" i="3"/>
  <c r="A58" i="3"/>
  <c r="A57" i="3"/>
  <c r="A56" i="3"/>
  <c r="A55" i="3"/>
  <c r="A54" i="3"/>
  <c r="A53" i="3"/>
  <c r="A52" i="3"/>
  <c r="A51" i="3"/>
  <c r="U49" i="3"/>
  <c r="T49" i="3"/>
  <c r="S49" i="3"/>
  <c r="R49" i="3"/>
  <c r="Q49" i="3"/>
  <c r="P49" i="3"/>
  <c r="O49" i="3"/>
  <c r="N49" i="3"/>
  <c r="M49" i="3"/>
  <c r="L49" i="3"/>
  <c r="U48" i="3"/>
  <c r="T48" i="3"/>
  <c r="S48" i="3"/>
  <c r="R48" i="3"/>
  <c r="Q48" i="3"/>
  <c r="P48" i="3"/>
  <c r="O48" i="3"/>
  <c r="N48" i="3"/>
  <c r="M48" i="3"/>
  <c r="L48" i="3"/>
  <c r="A44" i="3"/>
  <c r="A43" i="3"/>
  <c r="A42" i="3"/>
  <c r="A41" i="3"/>
  <c r="A40" i="3"/>
  <c r="A39" i="3"/>
  <c r="A38" i="3"/>
  <c r="A37" i="3"/>
  <c r="A36" i="3"/>
  <c r="N34" i="3"/>
  <c r="O34" i="3"/>
  <c r="P34" i="3"/>
  <c r="Q34" i="3"/>
  <c r="R34" i="3"/>
  <c r="S34" i="3"/>
  <c r="T34" i="3"/>
  <c r="U34" i="3"/>
  <c r="M34" i="3"/>
  <c r="L34" i="3"/>
  <c r="N33" i="3"/>
  <c r="O33" i="3"/>
  <c r="P33" i="3"/>
  <c r="Q33" i="3"/>
  <c r="R33" i="3"/>
  <c r="S33" i="3"/>
  <c r="T33" i="3"/>
  <c r="U33" i="3"/>
  <c r="M33" i="3"/>
  <c r="L33" i="3"/>
  <c r="A29" i="3"/>
  <c r="A28" i="3"/>
  <c r="A27" i="3"/>
  <c r="A26" i="3"/>
  <c r="A25" i="3"/>
  <c r="A24" i="3"/>
  <c r="A23" i="3"/>
  <c r="A22" i="3"/>
  <c r="A21" i="3"/>
  <c r="L3" i="1" l="1"/>
  <c r="P3" i="1" s="1"/>
  <c r="P2" i="1"/>
  <c r="L5" i="1"/>
  <c r="P1" i="1"/>
  <c r="I4" i="1"/>
  <c r="B4" i="7"/>
  <c r="B5" i="7"/>
  <c r="B6" i="7"/>
  <c r="B7" i="7"/>
  <c r="B8" i="7"/>
  <c r="B9" i="7"/>
  <c r="B10" i="7"/>
  <c r="B11" i="7"/>
  <c r="B3" i="7"/>
  <c r="H2" i="1"/>
  <c r="H1" i="1"/>
  <c r="A50" i="3"/>
  <c r="A65" i="3" s="1"/>
  <c r="A14" i="3"/>
  <c r="A13" i="3"/>
  <c r="A12" i="3"/>
  <c r="A11" i="3"/>
  <c r="A10" i="3"/>
  <c r="A9" i="3"/>
  <c r="A8" i="3"/>
  <c r="A7" i="3"/>
  <c r="A6" i="3"/>
  <c r="A3" i="9"/>
  <c r="A4" i="9"/>
  <c r="A5" i="9"/>
  <c r="A6" i="9"/>
  <c r="A7" i="9"/>
  <c r="A8" i="9"/>
  <c r="A9" i="9"/>
  <c r="A10" i="9"/>
  <c r="A11" i="9"/>
  <c r="A2" i="9"/>
  <c r="B1" i="1"/>
  <c r="B6" i="1"/>
  <c r="H22" i="7" l="1"/>
  <c r="L29" i="7" s="1"/>
  <c r="H21" i="7"/>
  <c r="B13" i="8" s="1"/>
  <c r="H20" i="7"/>
  <c r="B12" i="8" s="1"/>
  <c r="Q91" i="3" l="1"/>
  <c r="T76" i="3"/>
  <c r="P91" i="3"/>
  <c r="O76" i="3"/>
  <c r="N61" i="3"/>
  <c r="U46" i="3"/>
  <c r="M46" i="3"/>
  <c r="O31" i="3"/>
  <c r="L31" i="3"/>
  <c r="U61" i="3"/>
  <c r="M61" i="3"/>
  <c r="T46" i="3"/>
  <c r="P31" i="3"/>
  <c r="U76" i="3"/>
  <c r="T61" i="3"/>
  <c r="O91" i="3"/>
  <c r="N76" i="3"/>
  <c r="L46" i="3"/>
  <c r="M76" i="3"/>
  <c r="L61" i="3"/>
  <c r="Q31" i="3"/>
  <c r="L76" i="3"/>
  <c r="R46" i="3"/>
  <c r="N91" i="3"/>
  <c r="U91" i="3"/>
  <c r="T91" i="3"/>
  <c r="L91" i="3"/>
  <c r="S76" i="3"/>
  <c r="R61" i="3"/>
  <c r="Q46" i="3"/>
  <c r="S31" i="3"/>
  <c r="R76" i="3"/>
  <c r="Q61" i="3"/>
  <c r="P46" i="3"/>
  <c r="T31" i="3"/>
  <c r="S46" i="3"/>
  <c r="S61" i="3"/>
  <c r="R31" i="3"/>
  <c r="S91" i="3"/>
  <c r="R91" i="3"/>
  <c r="Q76" i="3"/>
  <c r="P61" i="3"/>
  <c r="O46" i="3"/>
  <c r="U31" i="3"/>
  <c r="P76" i="3"/>
  <c r="O61" i="3"/>
  <c r="N46" i="3"/>
  <c r="N31" i="3"/>
  <c r="M31" i="3"/>
  <c r="M91" i="3"/>
  <c r="G20" i="7"/>
  <c r="G21" i="7"/>
  <c r="G22" i="7"/>
  <c r="E4" i="1" l="1"/>
  <c r="E3" i="1"/>
  <c r="D2" i="3"/>
  <c r="H2" i="3"/>
  <c r="B2" i="3"/>
  <c r="I2" i="3"/>
  <c r="E2" i="3"/>
  <c r="F2" i="3"/>
  <c r="J2" i="3"/>
  <c r="C2" i="3"/>
  <c r="G2" i="3"/>
  <c r="K2" i="3"/>
</calcChain>
</file>

<file path=xl/sharedStrings.xml><?xml version="1.0" encoding="utf-8"?>
<sst xmlns="http://schemas.openxmlformats.org/spreadsheetml/2006/main" count="164" uniqueCount="109">
  <si>
    <t>Delta_x</t>
  </si>
  <si>
    <t>Delta_t</t>
  </si>
  <si>
    <t>phi</t>
  </si>
  <si>
    <t>x</t>
  </si>
  <si>
    <t>h+</t>
  </si>
  <si>
    <t>co3-2</t>
  </si>
  <si>
    <t>h2o</t>
  </si>
  <si>
    <t>t=0</t>
  </si>
  <si>
    <t>d</t>
  </si>
  <si>
    <t>m</t>
  </si>
  <si>
    <t>q</t>
  </si>
  <si>
    <t>D</t>
  </si>
  <si>
    <t>m/d</t>
  </si>
  <si>
    <t>m^2/d</t>
  </si>
  <si>
    <t>act coeffs model</t>
  </si>
  <si>
    <t>ideal</t>
  </si>
  <si>
    <t>L</t>
  </si>
  <si>
    <t>U</t>
  </si>
  <si>
    <t>prim species</t>
  </si>
  <si>
    <t>K</t>
  </si>
  <si>
    <t>initial target waters</t>
  </si>
  <si>
    <t>ch2o(aq)</t>
  </si>
  <si>
    <t>o2(aq)</t>
  </si>
  <si>
    <t>no3-</t>
  </si>
  <si>
    <t>o2(g)</t>
  </si>
  <si>
    <t>rk</t>
  </si>
  <si>
    <t>r_eq</t>
  </si>
  <si>
    <t xml:space="preserve">co3-2          </t>
  </si>
  <si>
    <t>oxid aer</t>
  </si>
  <si>
    <t>denit</t>
  </si>
  <si>
    <r>
      <t xml:space="preserve">the kinetic reaction rates are computed using </t>
    </r>
    <r>
      <rPr>
        <b/>
        <sz val="11"/>
        <color theme="1"/>
        <rFont val="Calibri"/>
        <family val="2"/>
        <scheme val="minor"/>
      </rPr>
      <t>Monod</t>
    </r>
    <r>
      <rPr>
        <sz val="11"/>
        <color theme="1"/>
        <rFont val="Calibri"/>
        <family val="2"/>
        <scheme val="minor"/>
      </rPr>
      <t xml:space="preserve"> expressions</t>
    </r>
  </si>
  <si>
    <t>equilibrium reactions</t>
  </si>
  <si>
    <t>kinetic reactions</t>
  </si>
  <si>
    <t>aerobic oxidation of DOC</t>
  </si>
  <si>
    <t>denitrification</t>
  </si>
  <si>
    <t>co2(g)</t>
  </si>
  <si>
    <t>calcite</t>
  </si>
  <si>
    <t>aqueous species</t>
  </si>
  <si>
    <t>gases</t>
  </si>
  <si>
    <t>reactive zone 1</t>
  </si>
  <si>
    <t>eq reactions</t>
  </si>
  <si>
    <r>
      <t xml:space="preserve">The domain is discretised by </t>
    </r>
    <r>
      <rPr>
        <b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>, who begin and end in the domain's boundary</t>
    </r>
  </si>
  <si>
    <t>aq species conc</t>
  </si>
  <si>
    <t>vol frac</t>
  </si>
  <si>
    <t>S_e</t>
  </si>
  <si>
    <t>S_k</t>
  </si>
  <si>
    <t>part press</t>
  </si>
  <si>
    <t>K master25</t>
  </si>
  <si>
    <t>init wat type</t>
  </si>
  <si>
    <t>init min zone</t>
  </si>
  <si>
    <t>tar wat ind</t>
  </si>
  <si>
    <r>
      <t xml:space="preserve">concentrations of aqueous species are expressed in </t>
    </r>
    <r>
      <rPr>
        <b/>
        <sz val="11"/>
        <color theme="1"/>
        <rFont val="Calibri"/>
        <family val="2"/>
        <scheme val="minor"/>
      </rPr>
      <t>molalities</t>
    </r>
  </si>
  <si>
    <t>We also assume that water has activity=1</t>
  </si>
  <si>
    <t>domain</t>
  </si>
  <si>
    <t>courant</t>
  </si>
  <si>
    <t>Peclet</t>
  </si>
  <si>
    <t>cl-</t>
  </si>
  <si>
    <r>
      <t xml:space="preserve">We assume that the </t>
    </r>
    <r>
      <rPr>
        <b/>
        <sz val="11"/>
        <color theme="1"/>
        <rFont val="Calibri"/>
        <family val="2"/>
        <scheme val="minor"/>
      </rPr>
      <t>partial pressure of gases is constant</t>
    </r>
  </si>
  <si>
    <t>infiltration water</t>
  </si>
  <si>
    <t>sum</t>
  </si>
  <si>
    <t>mu_1</t>
  </si>
  <si>
    <t>K_DOC</t>
  </si>
  <si>
    <t>K_O2</t>
  </si>
  <si>
    <t>mu_2</t>
  </si>
  <si>
    <t>I_O2</t>
  </si>
  <si>
    <t>K_NO3</t>
  </si>
  <si>
    <t>error abs</t>
  </si>
  <si>
    <t>BC inflow</t>
  </si>
  <si>
    <t>BC outflow</t>
  </si>
  <si>
    <r>
      <t xml:space="preserve">the BCs are </t>
    </r>
    <r>
      <rPr>
        <b/>
        <sz val="11"/>
        <color theme="1"/>
        <rFont val="Calibri"/>
        <family val="2"/>
        <scheme val="minor"/>
      </rPr>
      <t>prescribed mass flux at the inlet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zero dispersive flux at the outlet</t>
    </r>
  </si>
  <si>
    <t>t=0.1d</t>
  </si>
  <si>
    <t>t=0.01d</t>
  </si>
  <si>
    <t>t=1d</t>
  </si>
  <si>
    <t>The equilibrium reaction rates are computed using ordinary least squares method with the concentrations of  variable activity species</t>
  </si>
  <si>
    <t>theta_t</t>
  </si>
  <si>
    <t>theta_r</t>
  </si>
  <si>
    <t>long disp</t>
  </si>
  <si>
    <t>num cells</t>
  </si>
  <si>
    <t>lambdas</t>
  </si>
  <si>
    <t>inf</t>
  </si>
  <si>
    <t>out</t>
  </si>
  <si>
    <t>cell</t>
  </si>
  <si>
    <t>initial water</t>
  </si>
  <si>
    <t>err abs</t>
  </si>
  <si>
    <t>t_c</t>
  </si>
  <si>
    <t>L_c</t>
  </si>
  <si>
    <t>t=5d</t>
  </si>
  <si>
    <t>inflow</t>
  </si>
  <si>
    <t>outflow</t>
  </si>
  <si>
    <t>q_inf</t>
  </si>
  <si>
    <r>
      <t>This problem has been simulated with the code REMIX, and the results are shown in the sheet "</t>
    </r>
    <r>
      <rPr>
        <b/>
        <sz val="11"/>
        <color theme="1"/>
        <rFont val="Calibri"/>
        <family val="2"/>
        <scheme val="minor"/>
      </rPr>
      <t>results</t>
    </r>
    <r>
      <rPr>
        <sz val="11"/>
        <color theme="1"/>
        <rFont val="Calibri"/>
        <family val="2"/>
        <scheme val="minor"/>
      </rPr>
      <t>"</t>
    </r>
  </si>
  <si>
    <r>
      <t xml:space="preserve">both transport and reactions are solved using </t>
    </r>
    <r>
      <rPr>
        <b/>
        <sz val="11"/>
        <color theme="1"/>
        <rFont val="Calibri"/>
        <family val="2"/>
        <scheme val="minor"/>
      </rPr>
      <t>Euler fully implicit</t>
    </r>
  </si>
  <si>
    <t>transport approach</t>
  </si>
  <si>
    <t>Eulerian</t>
  </si>
  <si>
    <t>This excel sheet contains the results of a 1D denitrification problem without the whole path (2 redox reactions only). The input and output files can be found in the folder "denit_2reacts".</t>
  </si>
  <si>
    <t>The infiltration water is in equilibrium with atmospheric O2 &amp; CO2</t>
  </si>
  <si>
    <t xml:space="preserve">h2o(p)         </t>
  </si>
  <si>
    <t>n2(aq)(p)</t>
  </si>
  <si>
    <t>hco3-</t>
  </si>
  <si>
    <t>T_{i,i-1}</t>
  </si>
  <si>
    <t>1/d</t>
  </si>
  <si>
    <t>A_{i,i-1}</t>
  </si>
  <si>
    <t>T_{i,i+1}</t>
  </si>
  <si>
    <t>A_{i,i+1}</t>
  </si>
  <si>
    <t>T_{i,i}</t>
  </si>
  <si>
    <t>A_{i,i}</t>
  </si>
  <si>
    <t>T_{1,1}</t>
  </si>
  <si>
    <t>T_{n,n}</t>
  </si>
  <si>
    <t>t=0.02d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</si>
</sst>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0E+00"/>
    <numFmt numFmtId="166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2" borderId="0" xfId="0" applyFill="1"/>
    <xf numFmtId="0" fontId="2" fillId="3" borderId="0" xfId="0" applyFont="1" applyFill="1"/>
    <xf numFmtId="0" fontId="2" fillId="0" borderId="0" xfId="0" applyFont="1"/>
    <xf numFmtId="0" fontId="0" fillId="4" borderId="0" xfId="0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" fillId="0" borderId="1" xfId="0" applyFont="1" applyBorder="1"/>
    <xf numFmtId="1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1" fontId="1" fillId="0" borderId="0" xfId="0" applyNumberFormat="1" applyFont="1"/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3" xfId="0" applyBorder="1"/>
    <xf numFmtId="166" fontId="0" fillId="0" borderId="0" xfId="0" applyNumberFormat="1" applyAlignment="1">
      <alignment horizontal="center"/>
    </xf>
    <xf numFmtId="11" fontId="1" fillId="0" borderId="3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4" xfId="0" applyBorder="1"/>
    <xf numFmtId="11" fontId="1" fillId="0" borderId="0" xfId="0" applyNumberFormat="1" applyFont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0" fontId="0" fillId="5" borderId="2" xfId="0" applyFill="1" applyBorder="1"/>
    <xf numFmtId="0" fontId="0" fillId="8" borderId="0" xfId="0" applyFill="1"/>
    <xf numFmtId="11" fontId="0" fillId="9" borderId="0" xfId="0" applyNumberFormat="1" applyFill="1"/>
    <xf numFmtId="166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7" borderId="0" xfId="0" applyFont="1" applyFill="1"/>
    <xf numFmtId="164" fontId="0" fillId="7" borderId="0" xfId="0" applyNumberFormat="1" applyFill="1"/>
    <xf numFmtId="164" fontId="0" fillId="0" borderId="3" xfId="0" applyNumberFormat="1" applyBorder="1" applyAlignment="1">
      <alignment horizontal="center"/>
    </xf>
    <xf numFmtId="164" fontId="1" fillId="0" borderId="0" xfId="0" applyNumberFormat="1" applyFont="1"/>
    <xf numFmtId="166" fontId="0" fillId="0" borderId="0" xfId="0" applyNumberFormat="1" applyAlignment="1">
      <alignment horizontal="right"/>
    </xf>
    <xf numFmtId="166" fontId="0" fillId="8" borderId="0" xfId="0" applyNumberFormat="1" applyFill="1"/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0" fillId="0" borderId="2" xfId="0" applyBorder="1"/>
    <xf numFmtId="11" fontId="0" fillId="0" borderId="2" xfId="0" applyNumberFormat="1" applyBorder="1"/>
    <xf numFmtId="166" fontId="1" fillId="0" borderId="0" xfId="0" applyNumberFormat="1" applyFont="1"/>
    <xf numFmtId="165" fontId="0" fillId="0" borderId="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1" fontId="1" fillId="0" borderId="1" xfId="0" applyNumberFormat="1" applyFont="1" applyBorder="1" applyAlignment="1">
      <alignment horizontal="center"/>
    </xf>
    <xf numFmtId="1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Lambdas 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lambdas!$B$1</c:f>
              <c:strCache>
                <c:ptCount val="1"/>
                <c:pt idx="0">
                  <c:v>lambdas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lambdas!$C$1:$N$1</c:f>
              <c:strCache>
                <c:ptCount val="12"/>
                <c:pt idx="0">
                  <c:v>inf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out</c:v>
                </c:pt>
              </c:strCache>
            </c:strRef>
          </c:cat>
          <c:val>
            <c:numRef>
              <c:f>lambdas!$C$6:$N$6</c:f>
              <c:numCache>
                <c:formatCode>0.00000E+00</c:formatCode>
                <c:ptCount val="12"/>
                <c:pt idx="0">
                  <c:v>1.10652190407083E-4</c:v>
                </c:pt>
                <c:pt idx="1">
                  <c:v>2.76630476017707E-3</c:v>
                </c:pt>
                <c:pt idx="2">
                  <c:v>9.3527446653605892E-3</c:v>
                </c:pt>
                <c:pt idx="3">
                  <c:v>3.7580344259004202E-2</c:v>
                </c:pt>
                <c:pt idx="4">
                  <c:v>0.152596611174691</c:v>
                </c:pt>
                <c:pt idx="5">
                  <c:v>0.61998421260958003</c:v>
                </c:pt>
                <c:pt idx="6">
                  <c:v>0.13805921535919499</c:v>
                </c:pt>
                <c:pt idx="7">
                  <c:v>3.0744254416455698E-2</c:v>
                </c:pt>
                <c:pt idx="8">
                  <c:v>6.8503716979192901E-3</c:v>
                </c:pt>
                <c:pt idx="9">
                  <c:v>1.5425056619083801E-3</c:v>
                </c:pt>
                <c:pt idx="10">
                  <c:v>4.1278320529942601E-4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2-43A2-9B31-1C6F3DD8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46160"/>
        <c:axId val="1057839920"/>
      </c:barChart>
      <c:catAx>
        <c:axId val="10578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39920"/>
        <c:crossesAt val="1.000000000000001E-16"/>
        <c:auto val="1"/>
        <c:lblAlgn val="ctr"/>
        <c:lblOffset val="100"/>
        <c:noMultiLvlLbl val="0"/>
      </c:catAx>
      <c:valAx>
        <c:axId val="1057839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4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results!$B$24:$K$24</c:f>
              <c:numCache>
                <c:formatCode>0.00E+00</c:formatCode>
                <c:ptCount val="10"/>
                <c:pt idx="0">
                  <c:v>3.6190099999999998E-5</c:v>
                </c:pt>
                <c:pt idx="1">
                  <c:v>1.6682500000000002E-5</c:v>
                </c:pt>
                <c:pt idx="2">
                  <c:v>1.1544300000000001E-5</c:v>
                </c:pt>
                <c:pt idx="3">
                  <c:v>1.0254900000000001E-5</c:v>
                </c:pt>
                <c:pt idx="4">
                  <c:v>9.9359400000000003E-6</c:v>
                </c:pt>
                <c:pt idx="5">
                  <c:v>9.8573400000000007E-6</c:v>
                </c:pt>
                <c:pt idx="6">
                  <c:v>9.8379900000000007E-6</c:v>
                </c:pt>
                <c:pt idx="7">
                  <c:v>9.8332299999999997E-6</c:v>
                </c:pt>
                <c:pt idx="8">
                  <c:v>9.8320599999999992E-6</c:v>
                </c:pt>
                <c:pt idx="9">
                  <c:v>9.8317900000000006E-6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8-41D6-908A-475B6AB90E85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results!$B$39:$K$39</c:f>
              <c:numCache>
                <c:formatCode>0.00E+00</c:formatCode>
                <c:ptCount val="10"/>
                <c:pt idx="0">
                  <c:v>5.25978E-5</c:v>
                </c:pt>
                <c:pt idx="1">
                  <c:v>2.4921300000000001E-5</c:v>
                </c:pt>
                <c:pt idx="2">
                  <c:v>1.4542099999999999E-5</c:v>
                </c:pt>
                <c:pt idx="3">
                  <c:v>1.11321E-5</c:v>
                </c:pt>
                <c:pt idx="4">
                  <c:v>1.00937E-5</c:v>
                </c:pt>
                <c:pt idx="5">
                  <c:v>9.7907299999999997E-6</c:v>
                </c:pt>
                <c:pt idx="6">
                  <c:v>9.7046399999999996E-6</c:v>
                </c:pt>
                <c:pt idx="7">
                  <c:v>9.6806399999999995E-6</c:v>
                </c:pt>
                <c:pt idx="8">
                  <c:v>9.67406E-6</c:v>
                </c:pt>
                <c:pt idx="9">
                  <c:v>9.6723900000000001E-6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C-440C-AE92-6F8D196772DD}"/>
            </c:ext>
          </c:extLst>
        </c:ser>
        <c:ser>
          <c:idx val="2"/>
          <c:order val="3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results!$B$54:$K$54</c:f>
              <c:numCache>
                <c:formatCode>0.00E+00</c:formatCode>
                <c:ptCount val="10"/>
                <c:pt idx="0">
                  <c:v>7.4906499999999998E-5</c:v>
                </c:pt>
                <c:pt idx="1">
                  <c:v>4.7163500000000003E-5</c:v>
                </c:pt>
                <c:pt idx="2">
                  <c:v>3.1558199999999999E-5</c:v>
                </c:pt>
                <c:pt idx="3">
                  <c:v>2.2023900000000001E-5</c:v>
                </c:pt>
                <c:pt idx="4">
                  <c:v>1.6101100000000001E-5</c:v>
                </c:pt>
                <c:pt idx="5">
                  <c:v>1.25601E-5</c:v>
                </c:pt>
                <c:pt idx="6">
                  <c:v>1.0574700000000001E-5</c:v>
                </c:pt>
                <c:pt idx="7">
                  <c:v>9.5374400000000006E-6</c:v>
                </c:pt>
                <c:pt idx="8">
                  <c:v>9.0382999999999995E-6</c:v>
                </c:pt>
                <c:pt idx="9">
                  <c:v>8.8391699999999996E-6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2-43A9-8D1F-C25114BC724D}"/>
            </c:ext>
          </c:extLst>
        </c:ser>
        <c:ser>
          <c:idx val="4"/>
          <c:order val="4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results!$B$69:$K$69</c:f>
              <c:numCache>
                <c:formatCode>0.00E+00</c:formatCode>
                <c:ptCount val="10"/>
                <c:pt idx="0">
                  <c:v>4.7495399999999999E-5</c:v>
                </c:pt>
                <c:pt idx="1">
                  <c:v>2.2646999999999998E-5</c:v>
                </c:pt>
                <c:pt idx="2">
                  <c:v>1.11162E-5</c:v>
                </c:pt>
                <c:pt idx="3">
                  <c:v>5.6078199999999996E-6</c:v>
                </c:pt>
                <c:pt idx="4">
                  <c:v>2.9086899999999999E-6</c:v>
                </c:pt>
                <c:pt idx="5">
                  <c:v>1.5521600000000001E-6</c:v>
                </c:pt>
                <c:pt idx="6">
                  <c:v>8.5399199999999999E-7</c:v>
                </c:pt>
                <c:pt idx="7">
                  <c:v>4.8931900000000002E-7</c:v>
                </c:pt>
                <c:pt idx="8">
                  <c:v>3.0268000000000001E-7</c:v>
                </c:pt>
                <c:pt idx="9">
                  <c:v>2.22211E-7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8-4750-A82E-869E63A80E0D}"/>
            </c:ext>
          </c:extLst>
        </c:ser>
        <c:ser>
          <c:idx val="5"/>
          <c:order val="5"/>
          <c:tx>
            <c:strRef>
              <c:f>results!$B$80:$K$80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results!$B$84:$K$84</c:f>
              <c:numCache>
                <c:formatCode>0.00000E+00</c:formatCode>
                <c:ptCount val="10"/>
                <c:pt idx="0">
                  <c:v>3.4959100000000002E-5</c:v>
                </c:pt>
                <c:pt idx="1">
                  <c:v>1.40518E-5</c:v>
                </c:pt>
                <c:pt idx="2">
                  <c:v>5.6646900000000003E-6</c:v>
                </c:pt>
                <c:pt idx="3">
                  <c:v>2.2852900000000001E-6</c:v>
                </c:pt>
                <c:pt idx="4">
                  <c:v>9.2259800000000001E-7</c:v>
                </c:pt>
                <c:pt idx="5">
                  <c:v>3.7278700000000001E-7</c:v>
                </c:pt>
                <c:pt idx="6">
                  <c:v>1.5085300000000001E-7</c:v>
                </c:pt>
                <c:pt idx="7">
                  <c:v>6.1408200000000001E-8</c:v>
                </c:pt>
                <c:pt idx="8">
                  <c:v>2.5913100000000001E-8</c:v>
                </c:pt>
                <c:pt idx="9">
                  <c:v>1.34047E-8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6-4289-A1AC-7FA67F21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results!$B$9:$K$9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28-41D6-908A-475B6AB90E8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40266841644782"/>
          <c:y val="0.19523838467559973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results!$B$23:$K$23</c:f>
              <c:numCache>
                <c:formatCode>0.00E+00</c:formatCode>
                <c:ptCount val="10"/>
                <c:pt idx="0">
                  <c:v>3.0155099999999999E-5</c:v>
                </c:pt>
                <c:pt idx="1">
                  <c:v>7.4218300000000002E-6</c:v>
                </c:pt>
                <c:pt idx="2">
                  <c:v>1.82667E-6</c:v>
                </c:pt>
                <c:pt idx="3">
                  <c:v>4.4958300000000001E-7</c:v>
                </c:pt>
                <c:pt idx="4">
                  <c:v>1.10652E-7</c:v>
                </c:pt>
                <c:pt idx="5">
                  <c:v>2.7233899999999999E-8</c:v>
                </c:pt>
                <c:pt idx="6">
                  <c:v>6.7030900000000003E-9</c:v>
                </c:pt>
                <c:pt idx="7">
                  <c:v>1.65079E-9</c:v>
                </c:pt>
                <c:pt idx="8">
                  <c:v>4.1083699999999997E-10</c:v>
                </c:pt>
                <c:pt idx="9">
                  <c:v>1.2151499999999999E-10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3-461C-92F2-AE37E1F51B64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results!$B$38:$K$38</c:f>
              <c:numCache>
                <c:formatCode>0.00E+00</c:formatCode>
                <c:ptCount val="10"/>
                <c:pt idx="0">
                  <c:v>5.4206599999999997E-5</c:v>
                </c:pt>
                <c:pt idx="1">
                  <c:v>1.79428E-5</c:v>
                </c:pt>
                <c:pt idx="2">
                  <c:v>5.5486200000000002E-6</c:v>
                </c:pt>
                <c:pt idx="3">
                  <c:v>1.6443699999999999E-6</c:v>
                </c:pt>
                <c:pt idx="4">
                  <c:v>4.7331699999999998E-7</c:v>
                </c:pt>
                <c:pt idx="5">
                  <c:v>1.3337899999999999E-7</c:v>
                </c:pt>
                <c:pt idx="6">
                  <c:v>3.6985200000000001E-8</c:v>
                </c:pt>
                <c:pt idx="7">
                  <c:v>1.0134900000000001E-8</c:v>
                </c:pt>
                <c:pt idx="8">
                  <c:v>2.7850299999999998E-9</c:v>
                </c:pt>
                <c:pt idx="9">
                  <c:v>9.0931499999999998E-10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8-4528-BB5A-10CBFEEDE266}"/>
            </c:ext>
          </c:extLst>
        </c:ser>
        <c:ser>
          <c:idx val="2"/>
          <c:order val="3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results!$B$53:$K$53</c:f>
              <c:numCache>
                <c:formatCode>0.00E+00</c:formatCode>
                <c:ptCount val="10"/>
                <c:pt idx="0">
                  <c:v>1.65601E-4</c:v>
                </c:pt>
                <c:pt idx="1">
                  <c:v>1.0440700000000001E-4</c:v>
                </c:pt>
                <c:pt idx="2">
                  <c:v>6.1565100000000005E-5</c:v>
                </c:pt>
                <c:pt idx="3">
                  <c:v>3.4109100000000002E-5</c:v>
                </c:pt>
                <c:pt idx="4">
                  <c:v>1.7853799999999998E-5</c:v>
                </c:pt>
                <c:pt idx="5">
                  <c:v>8.8798799999999998E-6</c:v>
                </c:pt>
                <c:pt idx="6">
                  <c:v>4.2223000000000002E-6</c:v>
                </c:pt>
                <c:pt idx="7">
                  <c:v>1.9383799999999998E-6</c:v>
                </c:pt>
                <c:pt idx="8">
                  <c:v>8.9038200000000001E-7</c:v>
                </c:pt>
                <c:pt idx="9">
                  <c:v>4.8505199999999997E-7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3-45D9-9828-FEA024242CD4}"/>
            </c:ext>
          </c:extLst>
        </c:ser>
        <c:ser>
          <c:idx val="4"/>
          <c:order val="4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results!$B$68:$K$68</c:f>
              <c:numCache>
                <c:formatCode>0.00E+00</c:formatCode>
                <c:ptCount val="10"/>
                <c:pt idx="0">
                  <c:v>5.2205299999999997E-4</c:v>
                </c:pt>
                <c:pt idx="1">
                  <c:v>4.77799E-4</c:v>
                </c:pt>
                <c:pt idx="2">
                  <c:v>4.3548300000000002E-4</c:v>
                </c:pt>
                <c:pt idx="3">
                  <c:v>3.9580799999999999E-4</c:v>
                </c:pt>
                <c:pt idx="4">
                  <c:v>3.5949499999999999E-4</c:v>
                </c:pt>
                <c:pt idx="5">
                  <c:v>3.2728400000000001E-4</c:v>
                </c:pt>
                <c:pt idx="6">
                  <c:v>2.9993100000000003E-4</c:v>
                </c:pt>
                <c:pt idx="7">
                  <c:v>2.7820999999999998E-4</c:v>
                </c:pt>
                <c:pt idx="8">
                  <c:v>2.6291200000000002E-4</c:v>
                </c:pt>
                <c:pt idx="9">
                  <c:v>2.5484699999999999E-4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A-4EE6-80B8-668EAD3415EF}"/>
            </c:ext>
          </c:extLst>
        </c:ser>
        <c:ser>
          <c:idx val="5"/>
          <c:order val="5"/>
          <c:tx>
            <c:strRef>
              <c:f>results!$B$80:$K$80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results!$B$83:$K$83</c:f>
              <c:numCache>
                <c:formatCode>0.00000E+00</c:formatCode>
                <c:ptCount val="10"/>
                <c:pt idx="0">
                  <c:v>9.2641000000000002E-4</c:v>
                </c:pt>
                <c:pt idx="1">
                  <c:v>9.1956999999999998E-4</c:v>
                </c:pt>
                <c:pt idx="2">
                  <c:v>9.1300099999999998E-4</c:v>
                </c:pt>
                <c:pt idx="3">
                  <c:v>9.06812E-4</c:v>
                </c:pt>
                <c:pt idx="4">
                  <c:v>9.0111900000000003E-4</c:v>
                </c:pt>
                <c:pt idx="5">
                  <c:v>8.9604500000000004E-4</c:v>
                </c:pt>
                <c:pt idx="6">
                  <c:v>8.9171699999999999E-4</c:v>
                </c:pt>
                <c:pt idx="7">
                  <c:v>8.88268E-4</c:v>
                </c:pt>
                <c:pt idx="8">
                  <c:v>8.8583100000000001E-4</c:v>
                </c:pt>
                <c:pt idx="9">
                  <c:v>8.8454500000000004E-4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7-4DB0-991E-0CCBDF50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results!$B$8:$K$8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9.9999999999999998E-17</c:v>
                      </c:pt>
                      <c:pt idx="1">
                        <c:v>9.9999999999999998E-17</c:v>
                      </c:pt>
                      <c:pt idx="2">
                        <c:v>9.9999999999999998E-17</c:v>
                      </c:pt>
                      <c:pt idx="3">
                        <c:v>9.9999999999999998E-17</c:v>
                      </c:pt>
                      <c:pt idx="4">
                        <c:v>9.9999999999999998E-17</c:v>
                      </c:pt>
                      <c:pt idx="5">
                        <c:v>9.9999999999999998E-17</c:v>
                      </c:pt>
                      <c:pt idx="6">
                        <c:v>9.9999999999999998E-17</c:v>
                      </c:pt>
                      <c:pt idx="7">
                        <c:v>9.9999999999999998E-17</c:v>
                      </c:pt>
                      <c:pt idx="8">
                        <c:v>9.9999999999999998E-17</c:v>
                      </c:pt>
                      <c:pt idx="9">
                        <c:v>9.9999999999999998E-17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B3-461C-92F2-AE37E1F51B64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062489063867016"/>
          <c:y val="0.28880563613758803"/>
          <c:w val="0.36159733158355201"/>
          <c:h val="0.259067090297923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hco3-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results!$B$27:$K$27</c:f>
              <c:numCache>
                <c:formatCode>0.00E+00</c:formatCode>
                <c:ptCount val="10"/>
                <c:pt idx="0">
                  <c:v>9.9943300000000009E-4</c:v>
                </c:pt>
                <c:pt idx="1">
                  <c:v>1.00048E-3</c:v>
                </c:pt>
                <c:pt idx="2">
                  <c:v>1.0011600000000001E-3</c:v>
                </c:pt>
                <c:pt idx="3">
                  <c:v>1.00135E-3</c:v>
                </c:pt>
                <c:pt idx="4">
                  <c:v>1.0013999999999999E-3</c:v>
                </c:pt>
                <c:pt idx="5">
                  <c:v>1.0014100000000001E-3</c:v>
                </c:pt>
                <c:pt idx="6">
                  <c:v>1.0014100000000001E-3</c:v>
                </c:pt>
                <c:pt idx="7">
                  <c:v>1.0014100000000001E-3</c:v>
                </c:pt>
                <c:pt idx="8">
                  <c:v>1.0014100000000001E-3</c:v>
                </c:pt>
                <c:pt idx="9">
                  <c:v>1.0014100000000001E-3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6-4A22-A2BD-2456A662CB45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results!$B$42:$K$42</c:f>
              <c:numCache>
                <c:formatCode>0.00E+00</c:formatCode>
                <c:ptCount val="10"/>
                <c:pt idx="0">
                  <c:v>1.0038099999999999E-3</c:v>
                </c:pt>
                <c:pt idx="1">
                  <c:v>1.0011600000000001E-3</c:v>
                </c:pt>
                <c:pt idx="2">
                  <c:v>1.0014100000000001E-3</c:v>
                </c:pt>
                <c:pt idx="3">
                  <c:v>1.0016599999999999E-3</c:v>
                </c:pt>
                <c:pt idx="4">
                  <c:v>1.00175E-3</c:v>
                </c:pt>
                <c:pt idx="5">
                  <c:v>1.0017699999999999E-3</c:v>
                </c:pt>
                <c:pt idx="6">
                  <c:v>1.0017800000000001E-3</c:v>
                </c:pt>
                <c:pt idx="7">
                  <c:v>1.0017800000000001E-3</c:v>
                </c:pt>
                <c:pt idx="8">
                  <c:v>1.0017800000000001E-3</c:v>
                </c:pt>
                <c:pt idx="9">
                  <c:v>1.0017800000000001E-3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E-4BE2-9B5B-ADA7C52DC2E5}"/>
            </c:ext>
          </c:extLst>
        </c:ser>
        <c:ser>
          <c:idx val="2"/>
          <c:order val="3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results!$B$57:$K$57</c:f>
              <c:numCache>
                <c:formatCode>0.00E+00</c:formatCode>
                <c:ptCount val="10"/>
                <c:pt idx="0">
                  <c:v>1.0906500000000001E-3</c:v>
                </c:pt>
                <c:pt idx="1">
                  <c:v>1.0624199999999999E-3</c:v>
                </c:pt>
                <c:pt idx="2">
                  <c:v>1.03786E-3</c:v>
                </c:pt>
                <c:pt idx="3">
                  <c:v>1.0215300000000001E-3</c:v>
                </c:pt>
                <c:pt idx="4">
                  <c:v>1.0122099999999999E-3</c:v>
                </c:pt>
                <c:pt idx="5">
                  <c:v>1.0074000000000001E-3</c:v>
                </c:pt>
                <c:pt idx="6">
                  <c:v>1.00508E-3</c:v>
                </c:pt>
                <c:pt idx="7">
                  <c:v>1.0040100000000001E-3</c:v>
                </c:pt>
                <c:pt idx="8">
                  <c:v>1.00355E-3</c:v>
                </c:pt>
                <c:pt idx="9">
                  <c:v>1.0033799999999999E-3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1-42C4-BF71-6C792B0DE9A4}"/>
            </c:ext>
          </c:extLst>
        </c:ser>
        <c:ser>
          <c:idx val="4"/>
          <c:order val="4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results!$B$72:$K$72</c:f>
              <c:numCache>
                <c:formatCode>0.00E+00</c:formatCode>
                <c:ptCount val="10"/>
                <c:pt idx="0">
                  <c:v>1.4917800000000001E-3</c:v>
                </c:pt>
                <c:pt idx="1">
                  <c:v>1.4773500000000001E-3</c:v>
                </c:pt>
                <c:pt idx="2">
                  <c:v>1.44823E-3</c:v>
                </c:pt>
                <c:pt idx="3">
                  <c:v>1.4142899999999999E-3</c:v>
                </c:pt>
                <c:pt idx="4">
                  <c:v>1.3802899999999999E-3</c:v>
                </c:pt>
                <c:pt idx="5">
                  <c:v>1.34884E-3</c:v>
                </c:pt>
                <c:pt idx="6">
                  <c:v>1.3215600000000001E-3</c:v>
                </c:pt>
                <c:pt idx="7">
                  <c:v>1.2996699999999999E-3</c:v>
                </c:pt>
                <c:pt idx="8">
                  <c:v>1.2841599999999999E-3</c:v>
                </c:pt>
                <c:pt idx="9">
                  <c:v>1.27596E-3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3-4EDA-8A18-18DB39FD4AAF}"/>
            </c:ext>
          </c:extLst>
        </c:ser>
        <c:ser>
          <c:idx val="5"/>
          <c:order val="5"/>
          <c:tx>
            <c:strRef>
              <c:f>results!$B$80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results!$B$87:$K$87</c:f>
              <c:numCache>
                <c:formatCode>0.00000E+00</c:formatCode>
                <c:ptCount val="10"/>
                <c:pt idx="0">
                  <c:v>1.9235999999999999E-3</c:v>
                </c:pt>
                <c:pt idx="1">
                  <c:v>1.9427299999999999E-3</c:v>
                </c:pt>
                <c:pt idx="2">
                  <c:v>1.9464599999999999E-3</c:v>
                </c:pt>
                <c:pt idx="3">
                  <c:v>1.94432E-3</c:v>
                </c:pt>
                <c:pt idx="4">
                  <c:v>1.94017E-3</c:v>
                </c:pt>
                <c:pt idx="5">
                  <c:v>1.93563E-3</c:v>
                </c:pt>
                <c:pt idx="6">
                  <c:v>1.9314600000000001E-3</c:v>
                </c:pt>
                <c:pt idx="7">
                  <c:v>1.9280199999999999E-3</c:v>
                </c:pt>
                <c:pt idx="8">
                  <c:v>1.92555E-3</c:v>
                </c:pt>
                <c:pt idx="9">
                  <c:v>1.92425E-3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5-4D61-85E6-05B02D06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results!$B$12:$K$12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1E-3</c:v>
                      </c:pt>
                      <c:pt idx="1">
                        <c:v>1E-3</c:v>
                      </c:pt>
                      <c:pt idx="2">
                        <c:v>1E-3</c:v>
                      </c:pt>
                      <c:pt idx="3">
                        <c:v>1E-3</c:v>
                      </c:pt>
                      <c:pt idx="4">
                        <c:v>1E-3</c:v>
                      </c:pt>
                      <c:pt idx="5">
                        <c:v>1E-3</c:v>
                      </c:pt>
                      <c:pt idx="6">
                        <c:v>1E-3</c:v>
                      </c:pt>
                      <c:pt idx="7">
                        <c:v>1E-3</c:v>
                      </c:pt>
                      <c:pt idx="8">
                        <c:v>1E-3</c:v>
                      </c:pt>
                      <c:pt idx="9">
                        <c:v>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3F6-4A22-A2BD-2456A662CB4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06248906386702"/>
          <c:y val="0.56219772528433942"/>
          <c:w val="0.3310417760279965"/>
          <c:h val="0.2543887277248238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results!$B$28:$K$28</c:f>
              <c:numCache>
                <c:formatCode>0.00E+00</c:formatCode>
                <c:ptCount val="10"/>
                <c:pt idx="0">
                  <c:v>3.2577100000000001E-7</c:v>
                </c:pt>
                <c:pt idx="1">
                  <c:v>2.5850300000000002E-7</c:v>
                </c:pt>
                <c:pt idx="2">
                  <c:v>2.1404500000000001E-7</c:v>
                </c:pt>
                <c:pt idx="3">
                  <c:v>1.94357E-7</c:v>
                </c:pt>
                <c:pt idx="4">
                  <c:v>1.8840099999999999E-7</c:v>
                </c:pt>
                <c:pt idx="5">
                  <c:v>1.8685000000000001E-7</c:v>
                </c:pt>
                <c:pt idx="6">
                  <c:v>1.8646199999999999E-7</c:v>
                </c:pt>
                <c:pt idx="7">
                  <c:v>1.8636599999999999E-7</c:v>
                </c:pt>
                <c:pt idx="8">
                  <c:v>1.8634299999999999E-7</c:v>
                </c:pt>
                <c:pt idx="9">
                  <c:v>1.8633700000000001E-7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E-47DA-8698-989A2F5A052E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results!$B$43:$K$43</c:f>
              <c:numCache>
                <c:formatCode>0.00E+00</c:formatCode>
                <c:ptCount val="10"/>
                <c:pt idx="0">
                  <c:v>1.9770200000000001E-7</c:v>
                </c:pt>
                <c:pt idx="1">
                  <c:v>1.16237E-7</c:v>
                </c:pt>
                <c:pt idx="2">
                  <c:v>7.1724300000000004E-8</c:v>
                </c:pt>
                <c:pt idx="3">
                  <c:v>4.7899200000000002E-8</c:v>
                </c:pt>
                <c:pt idx="4">
                  <c:v>3.8866900000000001E-8</c:v>
                </c:pt>
                <c:pt idx="5">
                  <c:v>3.6282E-8</c:v>
                </c:pt>
                <c:pt idx="6">
                  <c:v>3.5629199999999999E-8</c:v>
                </c:pt>
                <c:pt idx="7">
                  <c:v>3.5471199999999998E-8</c:v>
                </c:pt>
                <c:pt idx="8">
                  <c:v>3.5433600000000003E-8</c:v>
                </c:pt>
                <c:pt idx="9">
                  <c:v>3.54251E-8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8-4862-B9B4-6F49EE9426FB}"/>
            </c:ext>
          </c:extLst>
        </c:ser>
        <c:ser>
          <c:idx val="2"/>
          <c:order val="3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results!$B$58:$K$58</c:f>
              <c:numCache>
                <c:formatCode>0.00E+00</c:formatCode>
                <c:ptCount val="10"/>
                <c:pt idx="0">
                  <c:v>1.07488E-7</c:v>
                </c:pt>
                <c:pt idx="1">
                  <c:v>3.9233099999999997E-8</c:v>
                </c:pt>
                <c:pt idx="2">
                  <c:v>1.50428E-8</c:v>
                </c:pt>
                <c:pt idx="3">
                  <c:v>5.9540199999999997E-9</c:v>
                </c:pt>
                <c:pt idx="4">
                  <c:v>2.3820800000000001E-9</c:v>
                </c:pt>
                <c:pt idx="5">
                  <c:v>9.3080200000000005E-10</c:v>
                </c:pt>
                <c:pt idx="6">
                  <c:v>3.41951E-10</c:v>
                </c:pt>
                <c:pt idx="7">
                  <c:v>1.15887E-10</c:v>
                </c:pt>
                <c:pt idx="8">
                  <c:v>3.7045099999999999E-11</c:v>
                </c:pt>
                <c:pt idx="9">
                  <c:v>1.35391E-11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A-4ACE-8D85-912DCD3AE3D2}"/>
            </c:ext>
          </c:extLst>
        </c:ser>
        <c:ser>
          <c:idx val="4"/>
          <c:order val="4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results!$B$73:$K$73</c:f>
              <c:numCache>
                <c:formatCode>0.00E+00</c:formatCode>
                <c:ptCount val="10"/>
                <c:pt idx="0">
                  <c:v>6.5629499999999999E-8</c:v>
                </c:pt>
                <c:pt idx="1">
                  <c:v>1.8204799999999999E-8</c:v>
                </c:pt>
                <c:pt idx="2">
                  <c:v>5.0265800000000002E-9</c:v>
                </c:pt>
                <c:pt idx="3">
                  <c:v>1.3769999999999999E-9</c:v>
                </c:pt>
                <c:pt idx="4">
                  <c:v>3.7511399999999999E-10</c:v>
                </c:pt>
                <c:pt idx="5">
                  <c:v>1.01686E-10</c:v>
                </c:pt>
                <c:pt idx="6">
                  <c:v>2.7381799999999999E-11</c:v>
                </c:pt>
                <c:pt idx="7">
                  <c:v>7.2989299999999995E-12</c:v>
                </c:pt>
                <c:pt idx="8">
                  <c:v>1.9346699999999999E-12</c:v>
                </c:pt>
                <c:pt idx="9">
                  <c:v>5.9635500000000004E-13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1-402D-A0B4-0C3A5A1C6B7F}"/>
            </c:ext>
          </c:extLst>
        </c:ser>
        <c:ser>
          <c:idx val="5"/>
          <c:order val="5"/>
          <c:tx>
            <c:strRef>
              <c:f>results!$B$80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results!$B$88:$K$88</c:f>
              <c:numCache>
                <c:formatCode>0.00000E+00</c:formatCode>
                <c:ptCount val="10"/>
                <c:pt idx="0">
                  <c:v>4.7104000000000003E-8</c:v>
                </c:pt>
                <c:pt idx="1">
                  <c:v>1.18008E-8</c:v>
                </c:pt>
                <c:pt idx="2">
                  <c:v>2.9555E-9</c:v>
                </c:pt>
                <c:pt idx="3">
                  <c:v>7.3715700000000004E-10</c:v>
                </c:pt>
                <c:pt idx="4">
                  <c:v>1.8334699999999999E-10</c:v>
                </c:pt>
                <c:pt idx="5">
                  <c:v>4.55278E-11</c:v>
                </c:pt>
                <c:pt idx="6">
                  <c:v>1.1293300000000001E-11</c:v>
                </c:pt>
                <c:pt idx="7">
                  <c:v>2.8005100000000002E-12</c:v>
                </c:pt>
                <c:pt idx="8">
                  <c:v>7.0127099999999997E-13</c:v>
                </c:pt>
                <c:pt idx="9">
                  <c:v>2.0859E-13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0-40B9-9D7F-79F20F81B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results!$B$10:$K$10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9.9999999999999998E-17</c:v>
                      </c:pt>
                      <c:pt idx="1">
                        <c:v>9.9999999999999998E-17</c:v>
                      </c:pt>
                      <c:pt idx="2">
                        <c:v>9.9999999999999998E-17</c:v>
                      </c:pt>
                      <c:pt idx="3">
                        <c:v>9.9999999999999998E-17</c:v>
                      </c:pt>
                      <c:pt idx="4">
                        <c:v>9.9999999999999998E-17</c:v>
                      </c:pt>
                      <c:pt idx="5">
                        <c:v>9.9999999999999998E-17</c:v>
                      </c:pt>
                      <c:pt idx="6">
                        <c:v>9.9999999999999998E-17</c:v>
                      </c:pt>
                      <c:pt idx="7">
                        <c:v>9.9999999999999998E-17</c:v>
                      </c:pt>
                      <c:pt idx="8">
                        <c:v>9.9999999999999998E-17</c:v>
                      </c:pt>
                      <c:pt idx="9">
                        <c:v>9.9999999999999998E-17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9CE-47DA-8698-989A2F5A052E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84711286089244"/>
          <c:y val="9.6992770640512038E-2"/>
          <c:w val="0.33937510936132981"/>
          <c:h val="0.2497103651517244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oxid aer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results!$B$33:$K$33</c:f>
              <c:numCache>
                <c:formatCode>0.00E+00</c:formatCode>
                <c:ptCount val="10"/>
                <c:pt idx="0">
                  <c:v>8.5289199999999995E-4</c:v>
                </c:pt>
                <c:pt idx="1">
                  <c:v>2.63093E-4</c:v>
                </c:pt>
                <c:pt idx="2">
                  <c:v>1.2484599999999999E-4</c:v>
                </c:pt>
                <c:pt idx="3">
                  <c:v>9.1932800000000002E-5</c:v>
                </c:pt>
                <c:pt idx="4">
                  <c:v>8.3956999999999996E-5</c:v>
                </c:pt>
                <c:pt idx="5">
                  <c:v>8.2003399999999995E-5</c:v>
                </c:pt>
                <c:pt idx="6">
                  <c:v>8.1523199999999999E-5</c:v>
                </c:pt>
                <c:pt idx="7">
                  <c:v>8.1405100000000004E-5</c:v>
                </c:pt>
                <c:pt idx="8">
                  <c:v>8.1376099999999995E-5</c:v>
                </c:pt>
                <c:pt idx="9">
                  <c:v>8.1369299999999994E-5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0-42CC-870F-E2D0D72981A1}"/>
            </c:ext>
          </c:extLst>
        </c:ser>
        <c:ser>
          <c:idx val="2"/>
          <c:order val="1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results!$B$48:$K$48</c:f>
              <c:numCache>
                <c:formatCode>0.00E+00</c:formatCode>
                <c:ptCount val="10"/>
                <c:pt idx="0">
                  <c:v>7.9693299999999999E-4</c:v>
                </c:pt>
                <c:pt idx="1">
                  <c:v>2.03644E-4</c:v>
                </c:pt>
                <c:pt idx="2">
                  <c:v>6.1331899999999995E-5</c:v>
                </c:pt>
                <c:pt idx="3">
                  <c:v>2.6600900000000001E-5</c:v>
                </c:pt>
                <c:pt idx="4">
                  <c:v>1.80139E-5</c:v>
                </c:pt>
                <c:pt idx="5">
                  <c:v>1.58413E-5</c:v>
                </c:pt>
                <c:pt idx="6">
                  <c:v>1.5284199999999998E-5</c:v>
                </c:pt>
                <c:pt idx="7">
                  <c:v>1.5140899999999999E-5</c:v>
                </c:pt>
                <c:pt idx="8">
                  <c:v>1.51042E-5</c:v>
                </c:pt>
                <c:pt idx="9">
                  <c:v>1.5095299999999999E-5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B-4A0D-917A-67A343523F9E}"/>
            </c:ext>
          </c:extLst>
        </c:ser>
        <c:ser>
          <c:idx val="0"/>
          <c:order val="2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results!$B$63:$K$63</c:f>
              <c:numCache>
                <c:formatCode>0.00E+00</c:formatCode>
                <c:ptCount val="10"/>
                <c:pt idx="0">
                  <c:v>7.8472500000000001E-4</c:v>
                </c:pt>
                <c:pt idx="1">
                  <c:v>1.9007E-4</c:v>
                </c:pt>
                <c:pt idx="2">
                  <c:v>4.7012399999999997E-5</c:v>
                </c:pt>
                <c:pt idx="3">
                  <c:v>1.1748E-5</c:v>
                </c:pt>
                <c:pt idx="4">
                  <c:v>2.96833E-6</c:v>
                </c:pt>
                <c:pt idx="5">
                  <c:v>7.6194699999999999E-7</c:v>
                </c:pt>
                <c:pt idx="6">
                  <c:v>1.9992899999999999E-7</c:v>
                </c:pt>
                <c:pt idx="7">
                  <c:v>5.3914399999999997E-8</c:v>
                </c:pt>
                <c:pt idx="8">
                  <c:v>1.5144299999999999E-8</c:v>
                </c:pt>
                <c:pt idx="9">
                  <c:v>5.2338799999999997E-9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9-4309-8D93-F3CB276ECCFC}"/>
            </c:ext>
          </c:extLst>
        </c:ser>
        <c:ser>
          <c:idx val="3"/>
          <c:order val="3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results!$B$78:$K$78</c:f>
              <c:numCache>
                <c:formatCode>0.00E+00</c:formatCode>
                <c:ptCount val="10"/>
                <c:pt idx="0">
                  <c:v>7.8516600000000001E-4</c:v>
                </c:pt>
                <c:pt idx="1">
                  <c:v>1.8976299999999999E-4</c:v>
                </c:pt>
                <c:pt idx="2">
                  <c:v>4.6703999999999999E-5</c:v>
                </c:pt>
                <c:pt idx="3">
                  <c:v>1.1551499999999999E-5</c:v>
                </c:pt>
                <c:pt idx="4">
                  <c:v>2.8620400000000001E-6</c:v>
                </c:pt>
                <c:pt idx="5">
                  <c:v>7.0981000000000003E-7</c:v>
                </c:pt>
                <c:pt idx="6">
                  <c:v>1.7618899999999999E-7</c:v>
                </c:pt>
                <c:pt idx="7">
                  <c:v>4.3795500000000003E-8</c:v>
                </c:pt>
                <c:pt idx="8">
                  <c:v>1.10133E-8</c:v>
                </c:pt>
                <c:pt idx="9">
                  <c:v>3.2975699999999998E-9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0-4A4C-AB36-DDD85F58730D}"/>
            </c:ext>
          </c:extLst>
        </c:ser>
        <c:ser>
          <c:idx val="4"/>
          <c:order val="4"/>
          <c:tx>
            <c:strRef>
              <c:f>results!$B$80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results!$B$93:$K$93</c:f>
              <c:numCache>
                <c:formatCode>0.000000E+00</c:formatCode>
                <c:ptCount val="10"/>
                <c:pt idx="0">
                  <c:v>7.8550400000000002E-4</c:v>
                </c:pt>
                <c:pt idx="1">
                  <c:v>1.89619E-4</c:v>
                </c:pt>
                <c:pt idx="2">
                  <c:v>4.6586299999999998E-5</c:v>
                </c:pt>
                <c:pt idx="3">
                  <c:v>1.1494900000000001E-5</c:v>
                </c:pt>
                <c:pt idx="4">
                  <c:v>2.8393699999999999E-6</c:v>
                </c:pt>
                <c:pt idx="5">
                  <c:v>7.0155799999999999E-7</c:v>
                </c:pt>
                <c:pt idx="6">
                  <c:v>1.7336299999999999E-7</c:v>
                </c:pt>
                <c:pt idx="7">
                  <c:v>4.28667E-8</c:v>
                </c:pt>
                <c:pt idx="8">
                  <c:v>1.07128E-8</c:v>
                </c:pt>
                <c:pt idx="9">
                  <c:v>3.1831500000000001E-9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8-44CB-9723-F7CA4C0B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73600174978123"/>
          <c:y val="0.20927347239489796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denit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results!$B$34:$K$34</c:f>
              <c:numCache>
                <c:formatCode>0.00E+00</c:formatCode>
                <c:ptCount val="10"/>
                <c:pt idx="0">
                  <c:v>4.7217299999999999E-4</c:v>
                </c:pt>
                <c:pt idx="1">
                  <c:v>8.3755099999999994E-5</c:v>
                </c:pt>
                <c:pt idx="2">
                  <c:v>3.3073E-5</c:v>
                </c:pt>
                <c:pt idx="3">
                  <c:v>2.3787499999999999E-5</c:v>
                </c:pt>
                <c:pt idx="4">
                  <c:v>2.17036E-5</c:v>
                </c:pt>
                <c:pt idx="5">
                  <c:v>2.1203E-5</c:v>
                </c:pt>
                <c:pt idx="6">
                  <c:v>2.1080499999999999E-5</c:v>
                </c:pt>
                <c:pt idx="7">
                  <c:v>2.1050500000000001E-5</c:v>
                </c:pt>
                <c:pt idx="8">
                  <c:v>2.1043099999999998E-5</c:v>
                </c:pt>
                <c:pt idx="9">
                  <c:v>2.1041400000000002E-5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C-4445-99A0-CBA9470BABB3}"/>
            </c:ext>
          </c:extLst>
        </c:ser>
        <c:ser>
          <c:idx val="2"/>
          <c:order val="1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results!$B$49:$K$49</c:f>
              <c:numCache>
                <c:formatCode>0.00E+00</c:formatCode>
                <c:ptCount val="10"/>
                <c:pt idx="0">
                  <c:v>1.05448E-3</c:v>
                </c:pt>
                <c:pt idx="1">
                  <c:v>2.1418399999999999E-4</c:v>
                </c:pt>
                <c:pt idx="2">
                  <c:v>6.0627400000000002E-5</c:v>
                </c:pt>
                <c:pt idx="3">
                  <c:v>3.0063899999999999E-5</c:v>
                </c:pt>
                <c:pt idx="4">
                  <c:v>2.27295E-5</c:v>
                </c:pt>
                <c:pt idx="5">
                  <c:v>2.0764E-5</c:v>
                </c:pt>
                <c:pt idx="6">
                  <c:v>2.02201E-5</c:v>
                </c:pt>
                <c:pt idx="7">
                  <c:v>2.0069599999999998E-5</c:v>
                </c:pt>
                <c:pt idx="8">
                  <c:v>2.00285E-5</c:v>
                </c:pt>
                <c:pt idx="9">
                  <c:v>2.0018100000000001E-5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1-4F6E-9D3F-8DC72DA71CFB}"/>
            </c:ext>
          </c:extLst>
        </c:ser>
        <c:ser>
          <c:idx val="0"/>
          <c:order val="2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results!$B$64:$K$64</c:f>
              <c:numCache>
                <c:formatCode>0.00E+00</c:formatCode>
                <c:ptCount val="10"/>
                <c:pt idx="0">
                  <c:v>2.74779E-3</c:v>
                </c:pt>
                <c:pt idx="1">
                  <c:v>1.1317600000000001E-3</c:v>
                </c:pt>
                <c:pt idx="2">
                  <c:v>4.8416399999999998E-4</c:v>
                </c:pt>
                <c:pt idx="3">
                  <c:v>2.1212499999999999E-4</c:v>
                </c:pt>
                <c:pt idx="4">
                  <c:v>9.7605599999999999E-5</c:v>
                </c:pt>
                <c:pt idx="5">
                  <c:v>4.9920399999999997E-5</c:v>
                </c:pt>
                <c:pt idx="6">
                  <c:v>2.9987700000000001E-5</c:v>
                </c:pt>
                <c:pt idx="7">
                  <c:v>2.1509999999999999E-5</c:v>
                </c:pt>
                <c:pt idx="8">
                  <c:v>1.7907600000000001E-5</c:v>
                </c:pt>
                <c:pt idx="9">
                  <c:v>1.6559099999999999E-5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1-445E-914B-BCB470461A0D}"/>
            </c:ext>
          </c:extLst>
        </c:ser>
        <c:ser>
          <c:idx val="3"/>
          <c:order val="3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results!$B$79:$K$79</c:f>
              <c:numCache>
                <c:formatCode>0.00E+00</c:formatCode>
                <c:ptCount val="10"/>
                <c:pt idx="0">
                  <c:v>2.94297E-3</c:v>
                </c:pt>
                <c:pt idx="1">
                  <c:v>1.2124E-3</c:v>
                </c:pt>
                <c:pt idx="2">
                  <c:v>5.2739799999999999E-4</c:v>
                </c:pt>
                <c:pt idx="3">
                  <c:v>2.3907600000000001E-4</c:v>
                </c:pt>
                <c:pt idx="4">
                  <c:v>1.12317E-4</c:v>
                </c:pt>
                <c:pt idx="5">
                  <c:v>5.4633999999999999E-5</c:v>
                </c:pt>
                <c:pt idx="6">
                  <c:v>2.7622300000000001E-5</c:v>
                </c:pt>
                <c:pt idx="7">
                  <c:v>1.47217E-5</c:v>
                </c:pt>
                <c:pt idx="8">
                  <c:v>8.6240799999999996E-6</c:v>
                </c:pt>
                <c:pt idx="9">
                  <c:v>6.1441600000000001E-6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F-47F1-A42F-0689F7E07455}"/>
            </c:ext>
          </c:extLst>
        </c:ser>
        <c:ser>
          <c:idx val="4"/>
          <c:order val="4"/>
          <c:tx>
            <c:strRef>
              <c:f>results!$B$80:$K$80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results!$B$94:$K$94</c:f>
              <c:numCache>
                <c:formatCode>0.000000E+00</c:formatCode>
                <c:ptCount val="10"/>
                <c:pt idx="0">
                  <c:v>3.1124500000000001E-3</c:v>
                </c:pt>
                <c:pt idx="1">
                  <c:v>1.2020900000000001E-3</c:v>
                </c:pt>
                <c:pt idx="2">
                  <c:v>4.74842E-4</c:v>
                </c:pt>
                <c:pt idx="3">
                  <c:v>1.89388E-4</c:v>
                </c:pt>
                <c:pt idx="4">
                  <c:v>7.5895699999999999E-5</c:v>
                </c:pt>
                <c:pt idx="5">
                  <c:v>3.0502300000000001E-5</c:v>
                </c:pt>
                <c:pt idx="6">
                  <c:v>1.2292200000000001E-5</c:v>
                </c:pt>
                <c:pt idx="7">
                  <c:v>4.9880999999999997E-6</c:v>
                </c:pt>
                <c:pt idx="8">
                  <c:v>2.1003099999999999E-6</c:v>
                </c:pt>
                <c:pt idx="9">
                  <c:v>1.08524E-6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E-447F-9196-48680CDA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62489063867007"/>
          <c:y val="0.2233085601141962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results!$B$22:$K$22</c:f>
              <c:numCache>
                <c:formatCode>0.0000E+00</c:formatCode>
                <c:ptCount val="10"/>
                <c:pt idx="0">
                  <c:v>8.7593200000000007E-6</c:v>
                </c:pt>
                <c:pt idx="1">
                  <c:v>2.4122E-6</c:v>
                </c:pt>
                <c:pt idx="2">
                  <c:v>9.8684499999999999E-7</c:v>
                </c:pt>
                <c:pt idx="3">
                  <c:v>6.6690000000000002E-7</c:v>
                </c:pt>
                <c:pt idx="4">
                  <c:v>5.9283899999999998E-7</c:v>
                </c:pt>
                <c:pt idx="5">
                  <c:v>5.7501200000000001E-7</c:v>
                </c:pt>
                <c:pt idx="6">
                  <c:v>5.7065200000000005E-7</c:v>
                </c:pt>
                <c:pt idx="7">
                  <c:v>5.6958E-7</c:v>
                </c:pt>
                <c:pt idx="8">
                  <c:v>5.6931700000000004E-7</c:v>
                </c:pt>
                <c:pt idx="9">
                  <c:v>5.6925600000000005E-7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A-4D13-A8F5-FBFA613F3189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results!$B$37:$K$37</c:f>
              <c:numCache>
                <c:formatCode>0.0000E+00</c:formatCode>
                <c:ptCount val="10"/>
                <c:pt idx="0">
                  <c:v>1.6743800000000001E-5</c:v>
                </c:pt>
                <c:pt idx="1">
                  <c:v>5.7156699999999998E-6</c:v>
                </c:pt>
                <c:pt idx="2">
                  <c:v>2.2043900000000002E-6</c:v>
                </c:pt>
                <c:pt idx="3">
                  <c:v>1.1583500000000001E-6</c:v>
                </c:pt>
                <c:pt idx="4">
                  <c:v>8.5876299999999997E-7</c:v>
                </c:pt>
                <c:pt idx="5">
                  <c:v>7.7403800000000001E-7</c:v>
                </c:pt>
                <c:pt idx="6">
                  <c:v>7.5020599999999999E-7</c:v>
                </c:pt>
                <c:pt idx="7">
                  <c:v>7.4357100000000001E-7</c:v>
                </c:pt>
                <c:pt idx="8">
                  <c:v>7.4175099999999996E-7</c:v>
                </c:pt>
                <c:pt idx="9">
                  <c:v>7.4128699999999996E-7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A-4D13-A8F5-FBFA613F3189}"/>
            </c:ext>
          </c:extLst>
        </c:ser>
        <c:ser>
          <c:idx val="2"/>
          <c:order val="3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results!$B$52:$K$52</c:f>
              <c:numCache>
                <c:formatCode>0.0000E+00</c:formatCode>
                <c:ptCount val="10"/>
                <c:pt idx="0">
                  <c:v>6.6651799999999998E-5</c:v>
                </c:pt>
                <c:pt idx="1">
                  <c:v>4.3223999999999998E-5</c:v>
                </c:pt>
                <c:pt idx="2">
                  <c:v>2.5844900000000001E-5</c:v>
                </c:pt>
                <c:pt idx="3">
                  <c:v>1.45849E-5</c:v>
                </c:pt>
                <c:pt idx="4">
                  <c:v>7.9880399999999998E-6</c:v>
                </c:pt>
                <c:pt idx="5">
                  <c:v>4.4167200000000001E-6</c:v>
                </c:pt>
                <c:pt idx="6">
                  <c:v>2.6048200000000002E-6</c:v>
                </c:pt>
                <c:pt idx="7">
                  <c:v>1.7375600000000001E-6</c:v>
                </c:pt>
                <c:pt idx="8">
                  <c:v>1.34904E-6</c:v>
                </c:pt>
                <c:pt idx="9">
                  <c:v>1.20155E-6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F-4AC5-BCED-56DF471755E1}"/>
            </c:ext>
          </c:extLst>
        </c:ser>
        <c:ser>
          <c:idx val="4"/>
          <c:order val="4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results!$B$67:$K$67</c:f>
              <c:numCache>
                <c:formatCode>0.0000E+00</c:formatCode>
                <c:ptCount val="10"/>
                <c:pt idx="0">
                  <c:v>2.5081099999999998E-4</c:v>
                </c:pt>
                <c:pt idx="1">
                  <c:v>2.3506300000000001E-4</c:v>
                </c:pt>
                <c:pt idx="2">
                  <c:v>2.1691500000000001E-4</c:v>
                </c:pt>
                <c:pt idx="3">
                  <c:v>1.9856499999999999E-4</c:v>
                </c:pt>
                <c:pt idx="4">
                  <c:v>1.81182E-4</c:v>
                </c:pt>
                <c:pt idx="5">
                  <c:v>1.65503E-4</c:v>
                </c:pt>
                <c:pt idx="6">
                  <c:v>1.52075E-4</c:v>
                </c:pt>
                <c:pt idx="7">
                  <c:v>1.41364E-4</c:v>
                </c:pt>
                <c:pt idx="8">
                  <c:v>1.3380299999999999E-4</c:v>
                </c:pt>
                <c:pt idx="9">
                  <c:v>1.29813E-4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8-49C1-82F6-FBC50A9314E2}"/>
            </c:ext>
          </c:extLst>
        </c:ser>
        <c:ser>
          <c:idx val="5"/>
          <c:order val="5"/>
          <c:tx>
            <c:strRef>
              <c:f>results!$B$80:$K$80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results!$B$82:$K$82</c:f>
              <c:numCache>
                <c:formatCode>0.00000E+00</c:formatCode>
                <c:ptCount val="10"/>
                <c:pt idx="0">
                  <c:v>4.5505200000000001E-4</c:v>
                </c:pt>
                <c:pt idx="1">
                  <c:v>4.5691299999999998E-4</c:v>
                </c:pt>
                <c:pt idx="2">
                  <c:v>4.5575200000000002E-4</c:v>
                </c:pt>
                <c:pt idx="3">
                  <c:v>4.5352100000000002E-4</c:v>
                </c:pt>
                <c:pt idx="4">
                  <c:v>4.5103100000000001E-4</c:v>
                </c:pt>
                <c:pt idx="5">
                  <c:v>4.4864500000000001E-4</c:v>
                </c:pt>
                <c:pt idx="6">
                  <c:v>4.4654900000000002E-4</c:v>
                </c:pt>
                <c:pt idx="7">
                  <c:v>4.4485599999999998E-4</c:v>
                </c:pt>
                <c:pt idx="8">
                  <c:v>4.4365300000000002E-4</c:v>
                </c:pt>
                <c:pt idx="9">
                  <c:v>4.4301600000000002E-4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5-4F18-B227-B6D29A00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results!$B$7:$K$7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9.9999999999999995E-8</c:v>
                      </c:pt>
                      <c:pt idx="1">
                        <c:v>9.9999999999999995E-8</c:v>
                      </c:pt>
                      <c:pt idx="2">
                        <c:v>9.9999999999999995E-8</c:v>
                      </c:pt>
                      <c:pt idx="3">
                        <c:v>9.9999999999999995E-8</c:v>
                      </c:pt>
                      <c:pt idx="4">
                        <c:v>9.9999999999999995E-8</c:v>
                      </c:pt>
                      <c:pt idx="5">
                        <c:v>9.9999999999999995E-8</c:v>
                      </c:pt>
                      <c:pt idx="6">
                        <c:v>9.9999999999999995E-8</c:v>
                      </c:pt>
                      <c:pt idx="7">
                        <c:v>9.9999999999999995E-8</c:v>
                      </c:pt>
                      <c:pt idx="8">
                        <c:v>9.9999999999999995E-8</c:v>
                      </c:pt>
                      <c:pt idx="9">
                        <c:v>9.9999999999999995E-8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7BA-4D13-A8F5-FBFA613F3189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06933508311456"/>
          <c:y val="0.2747705484182898"/>
          <c:w val="0.33381955380577427"/>
          <c:h val="0.2871372657365197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results!$B$20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results!$B$26:$K$26</c:f>
              <c:numCache>
                <c:formatCode>0.00E+00</c:formatCode>
                <c:ptCount val="10"/>
                <c:pt idx="0">
                  <c:v>5.7157600000000003E-5</c:v>
                </c:pt>
                <c:pt idx="1">
                  <c:v>2.13267E-5</c:v>
                </c:pt>
                <c:pt idx="2">
                  <c:v>1.20588E-5</c:v>
                </c:pt>
                <c:pt idx="3">
                  <c:v>9.7379899999999999E-6</c:v>
                </c:pt>
                <c:pt idx="4">
                  <c:v>9.1637100000000007E-6</c:v>
                </c:pt>
                <c:pt idx="5">
                  <c:v>9.0221600000000004E-6</c:v>
                </c:pt>
                <c:pt idx="6">
                  <c:v>8.9873100000000002E-6</c:v>
                </c:pt>
                <c:pt idx="7">
                  <c:v>8.9787299999999997E-6</c:v>
                </c:pt>
                <c:pt idx="8">
                  <c:v>8.9766300000000001E-6</c:v>
                </c:pt>
                <c:pt idx="9">
                  <c:v>8.9761399999999997E-6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B-451A-8643-DC881041D202}"/>
            </c:ext>
          </c:extLst>
        </c:ser>
        <c:ser>
          <c:idx val="3"/>
          <c:order val="2"/>
          <c:tx>
            <c:strRef>
              <c:f>results!$B$35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results!$B$41:$K$41</c:f>
              <c:numCache>
                <c:formatCode>0.00E+00</c:formatCode>
                <c:ptCount val="10"/>
                <c:pt idx="0">
                  <c:v>8.9578200000000002E-5</c:v>
                </c:pt>
                <c:pt idx="1">
                  <c:v>3.6749199999999997E-5</c:v>
                </c:pt>
                <c:pt idx="2">
                  <c:v>1.7526699999999999E-5</c:v>
                </c:pt>
                <c:pt idx="3">
                  <c:v>1.12862E-5</c:v>
                </c:pt>
                <c:pt idx="4">
                  <c:v>9.3929699999999993E-6</c:v>
                </c:pt>
                <c:pt idx="5">
                  <c:v>8.8414600000000006E-6</c:v>
                </c:pt>
                <c:pt idx="6">
                  <c:v>8.6849399999999999E-6</c:v>
                </c:pt>
                <c:pt idx="7">
                  <c:v>8.6413399999999992E-6</c:v>
                </c:pt>
                <c:pt idx="8">
                  <c:v>8.6294099999999998E-6</c:v>
                </c:pt>
                <c:pt idx="9">
                  <c:v>8.6263599999999999E-6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2B-451A-8643-DC881041D202}"/>
            </c:ext>
          </c:extLst>
        </c:ser>
        <c:ser>
          <c:idx val="2"/>
          <c:order val="3"/>
          <c:tx>
            <c:strRef>
              <c:f>results!$B$50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results!$B$56:$K$56</c:f>
              <c:numCache>
                <c:formatCode>0.00E+00</c:formatCode>
                <c:ptCount val="10"/>
                <c:pt idx="0">
                  <c:v>1.7313300000000001E-4</c:v>
                </c:pt>
                <c:pt idx="1">
                  <c:v>1.07755E-4</c:v>
                </c:pt>
                <c:pt idx="2">
                  <c:v>6.6779400000000006E-5</c:v>
                </c:pt>
                <c:pt idx="3">
                  <c:v>4.1109200000000003E-5</c:v>
                </c:pt>
                <c:pt idx="4">
                  <c:v>2.5565500000000001E-5</c:v>
                </c:pt>
                <c:pt idx="5">
                  <c:v>1.6645899999999999E-5</c:v>
                </c:pt>
                <c:pt idx="6">
                  <c:v>1.18322E-5</c:v>
                </c:pt>
                <c:pt idx="7">
                  <c:v>9.3921699999999992E-6</c:v>
                </c:pt>
                <c:pt idx="8">
                  <c:v>8.2435899999999995E-6</c:v>
                </c:pt>
                <c:pt idx="9">
                  <c:v>7.7917700000000001E-6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2B-451A-8643-DC881041D202}"/>
            </c:ext>
          </c:extLst>
        </c:ser>
        <c:ser>
          <c:idx val="4"/>
          <c:order val="4"/>
          <c:tx>
            <c:strRef>
              <c:f>results!$B$65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results!$B$71:$K$71</c:f>
              <c:numCache>
                <c:formatCode>0.00E+00</c:formatCode>
                <c:ptCount val="10"/>
                <c:pt idx="0">
                  <c:v>3.1724999999999999E-4</c:v>
                </c:pt>
                <c:pt idx="1">
                  <c:v>2.6399000000000003E-4</c:v>
                </c:pt>
                <c:pt idx="2">
                  <c:v>2.28383E-4</c:v>
                </c:pt>
                <c:pt idx="3">
                  <c:v>2.0163399999999999E-4</c:v>
                </c:pt>
                <c:pt idx="4">
                  <c:v>1.80082E-4</c:v>
                </c:pt>
                <c:pt idx="5">
                  <c:v>1.62263E-4</c:v>
                </c:pt>
                <c:pt idx="6">
                  <c:v>1.47699E-4</c:v>
                </c:pt>
                <c:pt idx="7">
                  <c:v>1.3637E-4</c:v>
                </c:pt>
                <c:pt idx="8">
                  <c:v>1.28479E-4</c:v>
                </c:pt>
                <c:pt idx="9">
                  <c:v>1.24342E-4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2B-451A-8643-DC881041D202}"/>
            </c:ext>
          </c:extLst>
        </c:ser>
        <c:ser>
          <c:idx val="5"/>
          <c:order val="5"/>
          <c:tx>
            <c:strRef>
              <c:f>results!$B$80:$K$80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results!$B$2:$K$2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results!$B$86:$K$86</c:f>
              <c:numCache>
                <c:formatCode>0.00000E+00</c:formatCode>
                <c:ptCount val="10"/>
                <c:pt idx="0">
                  <c:v>5.0396299999999996E-4</c:v>
                </c:pt>
                <c:pt idx="1">
                  <c:v>4.7437E-4</c:v>
                </c:pt>
                <c:pt idx="2">
                  <c:v>4.6058900000000002E-4</c:v>
                </c:pt>
                <c:pt idx="3">
                  <c:v>4.5326399999999999E-4</c:v>
                </c:pt>
                <c:pt idx="4">
                  <c:v>4.4871100000000002E-4</c:v>
                </c:pt>
                <c:pt idx="5">
                  <c:v>4.4548400000000001E-4</c:v>
                </c:pt>
                <c:pt idx="6">
                  <c:v>4.4304000000000001E-4</c:v>
                </c:pt>
                <c:pt idx="7">
                  <c:v>4.4120200000000002E-4</c:v>
                </c:pt>
                <c:pt idx="8">
                  <c:v>4.3993800000000002E-4</c:v>
                </c:pt>
                <c:pt idx="9">
                  <c:v>4.3927799999999998E-4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2B-451A-8643-DC881041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results!$B$5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results!$B$2:$K$2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results!$B$9:$K$9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172B-451A-8643-DC881041D202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29155730533681"/>
          <c:y val="0.38237288759957633"/>
          <c:w val="0.32270844269466314"/>
          <c:h val="0.20760510199382973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249764</xdr:colOff>
      <xdr:row>7</xdr:row>
      <xdr:rowOff>56192</xdr:rowOff>
    </xdr:from>
    <xdr:to>
      <xdr:col>16</xdr:col>
      <xdr:colOff>529167</xdr:colOff>
      <xdr:row>13</xdr:row>
      <xdr:rowOff>103377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15609"/>
              <a:ext cx="10259486" cy="112668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∀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1,…,</m:t>
                        </m:r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e>
                    </m:d>
                    <m:r>
                      <a:rPr lang="es-ES" sz="3600" b="1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𝐀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fr-FR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r-FR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𝑡</m:t>
                        </m:r>
                      </m:num>
                      <m:den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𝜙</m:t>
                        </m:r>
                      </m:den>
                    </m:f>
                    <m:f>
                      <m:f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num>
                      <m:den>
                        <m:r>
                          <m:rPr>
                            <m:sty m:val="p"/>
                          </m:rPr>
                          <a:rPr lang="es-ES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𝐞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15609"/>
              <a:ext cx="10259486" cy="112668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∀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𝑠∈{1,…,𝑛_𝑎𝑞 }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 </a:t>
              </a:r>
              <a:r>
                <a:rPr lang="es-ES" sz="3600" b="1" i="0">
                  <a:latin typeface="Cambria Math" panose="02040503050406030204" pitchFamily="18" charset="0"/>
                </a:rPr>
                <a:t>𝐀𝐜_</a:t>
              </a:r>
              <a:r>
                <a:rPr lang="es-ES" sz="3600" b="0" i="0">
                  <a:latin typeface="Cambria Math" panose="02040503050406030204" pitchFamily="18" charset="0"/>
                </a:rPr>
                <a:t>𝑠^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</a:t>
              </a:r>
              <a:r>
                <a:rPr lang="es-ES" sz="3600" b="1" i="0">
                  <a:latin typeface="Cambria Math" panose="02040503050406030204" pitchFamily="18" charset="0"/>
                </a:rPr>
                <a:t>𝐜_</a:t>
              </a:r>
              <a:r>
                <a:rPr lang="es-ES" sz="3600" b="0" i="0">
                  <a:latin typeface="Cambria Math" panose="02040503050406030204" pitchFamily="18" charset="0"/>
                </a:rPr>
                <a:t>𝑠^𝑘+</a:t>
              </a:r>
              <a:r>
                <a:rPr lang="fr-FR" sz="3600" b="0" i="0"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latin typeface="Cambria Math" panose="02040503050406030204" pitchFamily="18" charset="0"/>
                </a:rPr>
                <a:t>  𝑞_𝑖𝑛𝑓/Δ𝑥 〖𝑐_𝑖𝑛𝑓〗_𝑠 </a:t>
              </a:r>
              <a:r>
                <a:rPr lang="es-ES" sz="3600" b="1" i="0">
                  <a:latin typeface="Cambria Math" panose="02040503050406030204" pitchFamily="18" charset="0"/>
                </a:rPr>
                <a:t>𝐞</a:t>
              </a:r>
              <a:r>
                <a:rPr lang="es-ES" sz="3600" b="0" i="0">
                  <a:latin typeface="Cambria Math" panose="02040503050406030204" pitchFamily="18" charset="0"/>
                </a:rPr>
                <a:t>_1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4</xdr:col>
      <xdr:colOff>380714</xdr:colOff>
      <xdr:row>14</xdr:row>
      <xdr:rowOff>123084</xdr:rowOff>
    </xdr:from>
    <xdr:to>
      <xdr:col>7</xdr:col>
      <xdr:colOff>678744</xdr:colOff>
      <xdr:row>18</xdr:row>
      <xdr:rowOff>116417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41917"/>
              <a:ext cx="3271946" cy="713000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41917"/>
              <a:ext cx="3271946" cy="713000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_𝑠,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𝐞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ℝ^𝑛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0</xdr:col>
      <xdr:colOff>60946</xdr:colOff>
      <xdr:row>22</xdr:row>
      <xdr:rowOff>38088</xdr:rowOff>
    </xdr:from>
    <xdr:to>
      <xdr:col>4</xdr:col>
      <xdr:colOff>99045</xdr:colOff>
      <xdr:row>26</xdr:row>
      <xdr:rowOff>112889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lang="es-ES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𝑞𝑐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  <m:f>
                                  <m:fPr>
                                    <m:ctrlPr>
                                      <a:rPr lang="es-ES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num>
                                  <m:den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b="0" i="0">
                  <a:latin typeface="Cambria Math" panose="02040503050406030204" pitchFamily="18" charset="0"/>
                </a:rPr>
                <a:t>𝑚_𝑖𝑛𝑓</a:t>
              </a:r>
              <a:r>
                <a:rPr lang="en-US" i="0">
                  <a:latin typeface="Cambria Math" panose="02040503050406030204" pitchFamily="18" charset="0"/>
                </a:rPr>
                <a:t>=𝑞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n-US" i="0">
                  <a:latin typeface="Cambria Math" panose="02040503050406030204" pitchFamily="18" charset="0"/>
                </a:rPr>
                <a:t>𝑖𝑛𝑓</a:t>
              </a:r>
              <a:r>
                <a:rPr lang="es-ES" b="0" i="0">
                  <a:latin typeface="Cambria Math" panose="02040503050406030204" pitchFamily="18" charset="0"/>
                </a:rPr>
                <a:t> 𝑐_𝑖𝑛𝑓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i="0">
                  <a:latin typeface="Cambria Math" panose="02040503050406030204" pitchFamily="18" charset="0"/>
                </a:rPr>
                <a:t>├ (</a:t>
              </a:r>
              <a:r>
                <a:rPr lang="en-US" i="0">
                  <a:latin typeface="Cambria Math" panose="02040503050406030204" pitchFamily="18" charset="0"/>
                </a:rPr>
                <a:t>𝑞𝑐−𝐷 𝜕𝑐</a:t>
              </a:r>
              <a:r>
                <a:rPr lang="es-ES" i="0">
                  <a:latin typeface="Cambria Math" panose="02040503050406030204" pitchFamily="18" charset="0"/>
                </a:rPr>
                <a:t>/</a:t>
              </a:r>
              <a:r>
                <a:rPr lang="en-US" i="0">
                  <a:latin typeface="Cambria Math" panose="02040503050406030204" pitchFamily="18" charset="0"/>
                </a:rPr>
                <a:t>𝜕𝑥)┤|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𝑖𝑛𝑓</a:t>
              </a:r>
              <a:endParaRPr lang="es-ES"/>
            </a:p>
          </xdr:txBody>
        </xdr:sp>
      </mc:Fallback>
    </mc:AlternateContent>
    <xdr:clientData/>
  </xdr:twoCellAnchor>
  <xdr:twoCellAnchor>
    <xdr:from>
      <xdr:col>0</xdr:col>
      <xdr:colOff>226686</xdr:colOff>
      <xdr:row>28</xdr:row>
      <xdr:rowOff>59054</xdr:rowOff>
    </xdr:from>
    <xdr:to>
      <xdr:col>3</xdr:col>
      <xdr:colOff>220027</xdr:colOff>
      <xdr:row>31</xdr:row>
      <xdr:rowOff>167166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26354"/>
              <a:ext cx="2717491" cy="65103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num>
                              <m:den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s-ES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26354"/>
              <a:ext cx="2717491" cy="65103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i="0">
                  <a:latin typeface="Cambria Math" panose="02040503050406030204" pitchFamily="18" charset="0"/>
                </a:rPr>
                <a:t>𝑞</a:t>
              </a:r>
              <a:r>
                <a:rPr lang="es-ES" i="0">
                  <a:latin typeface="Cambria Math" panose="02040503050406030204" pitchFamily="18" charset="0"/>
                </a:rPr>
                <a:t>_(</a:t>
              </a:r>
              <a:r>
                <a:rPr lang="es-ES" b="0" i="0">
                  <a:latin typeface="Cambria Math" panose="02040503050406030204" pitchFamily="18" charset="0"/>
                </a:rPr>
                <a:t>𝐷,𝑜𝑢𝑡)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b="0" i="0">
                  <a:latin typeface="Cambria Math" panose="02040503050406030204" pitchFamily="18" charset="0"/>
                </a:rPr>
                <a:t>−</a:t>
              </a:r>
              <a:r>
                <a:rPr lang="es-ES" i="0">
                  <a:latin typeface="Cambria Math" panose="02040503050406030204" pitchFamily="18" charset="0"/>
                </a:rPr>
                <a:t>├ 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 𝜕𝑐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𝜕𝑥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┤|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𝑜𝑢𝑡=0</a:t>
              </a:r>
              <a:endParaRPr lang="es-ES"/>
            </a:p>
          </xdr:txBody>
        </xdr:sp>
      </mc:Fallback>
    </mc:AlternateContent>
    <xdr:clientData/>
  </xdr:twoCellAnchor>
  <xdr:twoCellAnchor>
    <xdr:from>
      <xdr:col>4</xdr:col>
      <xdr:colOff>508000</xdr:colOff>
      <xdr:row>19</xdr:row>
      <xdr:rowOff>95249</xdr:rowOff>
    </xdr:from>
    <xdr:to>
      <xdr:col>8</xdr:col>
      <xdr:colOff>112183</xdr:colOff>
      <xdr:row>29</xdr:row>
      <xdr:rowOff>10583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5">
              <a:extLst>
                <a:ext uri="{FF2B5EF4-FFF2-40B4-BE49-F238E27FC236}">
                  <a16:creationId xmlns:a16="http://schemas.microsoft.com/office/drawing/2014/main" id="{B9835BA8-3198-408C-B799-2B388F0FD2D9}"/>
                </a:ext>
              </a:extLst>
            </xdr:cNvPr>
            <xdr:cNvSpPr txBox="1"/>
          </xdr:nvSpPr>
          <xdr:spPr>
            <a:xfrm>
              <a:off x="3958167" y="351366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3" name="CuadroTexto 5">
              <a:extLst>
                <a:ext uri="{FF2B5EF4-FFF2-40B4-BE49-F238E27FC236}">
                  <a16:creationId xmlns:a16="http://schemas.microsoft.com/office/drawing/2014/main" id="{B9835BA8-3198-408C-B799-2B388F0FD2D9}"/>
                </a:ext>
              </a:extLst>
            </xdr:cNvPr>
            <xdr:cNvSpPr txBox="1"/>
          </xdr:nvSpPr>
          <xdr:spPr>
            <a:xfrm>
              <a:off x="3958167" y="351366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𝑇_1,1=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2Δ𝑥−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Δ𝑥^2 )@𝑇_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Δ𝑥^2 ))┤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4</xdr:col>
      <xdr:colOff>497416</xdr:colOff>
      <xdr:row>30</xdr:row>
      <xdr:rowOff>52916</xdr:rowOff>
    </xdr:from>
    <xdr:to>
      <xdr:col>8</xdr:col>
      <xdr:colOff>101599</xdr:colOff>
      <xdr:row>39</xdr:row>
      <xdr:rowOff>148166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DAFB8FA6-B13E-4ABF-B52F-4090595DC902}"/>
                </a:ext>
              </a:extLst>
            </xdr:cNvPr>
            <xdr:cNvSpPr txBox="1"/>
          </xdr:nvSpPr>
          <xdr:spPr>
            <a:xfrm>
              <a:off x="3947583" y="545041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DAFB8FA6-B13E-4ABF-B52F-4090595DC902}"/>
                </a:ext>
              </a:extLst>
            </xdr:cNvPr>
            <xdr:cNvSpPr txBox="1"/>
          </xdr:nvSpPr>
          <xdr:spPr>
            <a:xfrm>
              <a:off x="3947583" y="545041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𝑛−1)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Δ𝑥^2 )@𝑇_(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_(𝑛,𝑛−1) 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8</xdr:col>
      <xdr:colOff>381000</xdr:colOff>
      <xdr:row>14</xdr:row>
      <xdr:rowOff>74085</xdr:rowOff>
    </xdr:from>
    <xdr:to>
      <xdr:col>12</xdr:col>
      <xdr:colOff>608474</xdr:colOff>
      <xdr:row>21</xdr:row>
      <xdr:rowOff>123826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3">
              <a:extLst>
                <a:ext uri="{FF2B5EF4-FFF2-40B4-BE49-F238E27FC236}">
                  <a16:creationId xmlns:a16="http://schemas.microsoft.com/office/drawing/2014/main" id="{E508228A-E144-459B-AB19-718EE1745F7E}"/>
                </a:ext>
              </a:extLst>
            </xdr:cNvPr>
            <xdr:cNvSpPr txBox="1"/>
          </xdr:nvSpPr>
          <xdr:spPr>
            <a:xfrm>
              <a:off x="7715250" y="2592918"/>
              <a:ext cx="3275474" cy="1309158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𝐀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𝐈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ES" sz="3600" b="0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Δ</m:t>
                        </m:r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𝜙</m:t>
                        </m:r>
                      </m:den>
                    </m:f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𝐓</m:t>
                    </m:r>
                  </m:oMath>
                </m:oMathPara>
              </a14:m>
              <a:endParaRPr lang="es-ES" sz="3600" b="1" i="0"/>
            </a:p>
          </xdr:txBody>
        </xdr:sp>
      </mc:Choice>
      <mc:Fallback xmlns="">
        <xdr:sp macro="" textlink="">
          <xdr:nvSpPr>
            <xdr:cNvPr id="5" name="CuadroTexto 3">
              <a:extLst>
                <a:ext uri="{FF2B5EF4-FFF2-40B4-BE49-F238E27FC236}">
                  <a16:creationId xmlns:a16="http://schemas.microsoft.com/office/drawing/2014/main" id="{E508228A-E144-459B-AB19-718EE1745F7E}"/>
                </a:ext>
              </a:extLst>
            </xdr:cNvPr>
            <xdr:cNvSpPr txBox="1"/>
          </xdr:nvSpPr>
          <xdr:spPr>
            <a:xfrm>
              <a:off x="7715250" y="2592918"/>
              <a:ext cx="3275474" cy="1309158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𝐀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−Δ𝑡/𝜙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𝐓</a:t>
              </a:r>
              <a:endParaRPr lang="es-ES" sz="3600" b="1" i="0"/>
            </a:p>
          </xdr:txBody>
        </xdr:sp>
      </mc:Fallback>
    </mc:AlternateContent>
    <xdr:clientData/>
  </xdr:twoCellAnchor>
  <xdr:twoCellAnchor>
    <xdr:from>
      <xdr:col>8</xdr:col>
      <xdr:colOff>349250</xdr:colOff>
      <xdr:row>22</xdr:row>
      <xdr:rowOff>95250</xdr:rowOff>
    </xdr:from>
    <xdr:to>
      <xdr:col>16</xdr:col>
      <xdr:colOff>233187</xdr:colOff>
      <xdr:row>37</xdr:row>
      <xdr:rowOff>38452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3">
              <a:extLst>
                <a:ext uri="{FF2B5EF4-FFF2-40B4-BE49-F238E27FC236}">
                  <a16:creationId xmlns:a16="http://schemas.microsoft.com/office/drawing/2014/main" id="{A1F8DDAA-683F-465F-B2CB-CA7DF32AA661}"/>
                </a:ext>
              </a:extLst>
            </xdr:cNvPr>
            <xdr:cNvSpPr txBox="1"/>
          </xdr:nvSpPr>
          <xdr:spPr>
            <a:xfrm>
              <a:off x="7683500" y="4053417"/>
              <a:ext cx="5979937" cy="26419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∀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2,…,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 </m:t>
                    </m:r>
                    <m:d>
                      <m:dPr>
                        <m:begChr m:val="{"/>
                        <m:endChr m:val="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CuadroTexto 3">
              <a:extLst>
                <a:ext uri="{FF2B5EF4-FFF2-40B4-BE49-F238E27FC236}">
                  <a16:creationId xmlns:a16="http://schemas.microsoft.com/office/drawing/2014/main" id="{A1F8DDAA-683F-465F-B2CB-CA7DF32AA661}"/>
                </a:ext>
              </a:extLst>
            </xdr:cNvPr>
            <xdr:cNvSpPr txBox="1"/>
          </xdr:nvSpPr>
          <xdr:spPr>
            <a:xfrm>
              <a:off x="7683500" y="4053417"/>
              <a:ext cx="5979937" cy="26419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∀𝑖∈{2,…,𝑛−1},  {█(𝑇_(𝑖,𝑖−1)=𝑞/2Δ𝑥+𝐷/(Δ𝑥^2 )@</a:t>
              </a:r>
              <a:r>
                <a:rPr lang="es-ES" sz="2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𝑇_(𝑖,𝑖+1)=−𝑞/2Δ𝑥+𝐷/(Δ𝑥^2 )@𝑇_(𝑖,𝑖)=−𝑇_(𝑖,𝑖−1)−𝑇_(𝑖,𝑖+1) )┤</a:t>
              </a:r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329334</xdr:colOff>
      <xdr:row>0</xdr:row>
      <xdr:rowOff>140190</xdr:rowOff>
    </xdr:from>
    <xdr:to>
      <xdr:col>20</xdr:col>
      <xdr:colOff>591993</xdr:colOff>
      <xdr:row>15</xdr:row>
      <xdr:rowOff>140189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B262C-CAA4-8FD1-22B1-A183A7927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11</xdr:row>
      <xdr:rowOff>83415</xdr:rowOff>
    </xdr:from>
    <xdr:to>
      <xdr:col>14</xdr:col>
      <xdr:colOff>38986</xdr:colOff>
      <xdr:row>21</xdr:row>
      <xdr:rowOff>17317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3665"/>
              <a:ext cx="9962304" cy="1752311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3600" b="0" i="1">
                        <a:latin typeface="Cambria Math" panose="02040503050406030204" pitchFamily="18" charset="0"/>
                      </a:rPr>
                      <m:t>∀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1,…,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s-ES" sz="3600" b="1" i="1">
                        <a:latin typeface="Cambria Math" panose="02040503050406030204" pitchFamily="18" charset="0"/>
                      </a:rPr>
                      <m:t>,  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ES" sz="36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𝜆</m:t>
                            </m:r>
                          </m:e>
                          <m:sub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sSubSup>
                          <m:sSubSup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3600" b="1" i="0">
                                <a:latin typeface="Cambria Math" panose="02040503050406030204" pitchFamily="18" charset="0"/>
                              </a:rPr>
                              <m:t>𝐜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</m:e>
                    </m:nary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3665"/>
              <a:ext cx="9962304" cy="1752311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>
                  <a:latin typeface="Cambria Math" panose="02040503050406030204" pitchFamily="18" charset="0"/>
                </a:rPr>
                <a:t>∀</a:t>
              </a:r>
              <a:r>
                <a:rPr lang="es-ES" sz="3600" b="1" i="0">
                  <a:latin typeface="Cambria Math" panose="02040503050406030204" pitchFamily="18" charset="0"/>
                </a:rPr>
                <a:t> </a:t>
              </a:r>
              <a:r>
                <a:rPr lang="es-ES" sz="3600" b="0" i="0">
                  <a:latin typeface="Cambria Math" panose="02040503050406030204" pitchFamily="18" charset="0"/>
                </a:rPr>
                <a:t>𝑖∈{1,…,𝑛}</a:t>
              </a:r>
              <a:r>
                <a:rPr lang="es-ES" sz="3600" b="1" i="0">
                  <a:latin typeface="Cambria Math" panose="02040503050406030204" pitchFamily="18" charset="0"/>
                </a:rPr>
                <a:t>,  𝐜_</a:t>
              </a:r>
              <a:r>
                <a:rPr lang="es-ES" sz="3600" b="0" i="0">
                  <a:latin typeface="Cambria Math" panose="02040503050406030204" pitchFamily="18" charset="0"/>
                </a:rPr>
                <a:t>𝑖^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=∑_(𝑗=1)^𝑛▒〖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𝜆_(𝑖,𝑗)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_𝑗^𝑘 〗+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𝜆_(𝑖,𝑖𝑛𝑓)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_𝑖𝑛𝑓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14</xdr:col>
      <xdr:colOff>381001</xdr:colOff>
      <xdr:row>17</xdr:row>
      <xdr:rowOff>112569</xdr:rowOff>
    </xdr:from>
    <xdr:to>
      <xdr:col>18</xdr:col>
      <xdr:colOff>524935</xdr:colOff>
      <xdr:row>20</xdr:row>
      <xdr:rowOff>159963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𝑖𝑛𝑓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_𝑖𝑛𝑓∈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ℝ^(𝑛_𝑎𝑞 )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2</xdr:col>
      <xdr:colOff>216478</xdr:colOff>
      <xdr:row>21</xdr:row>
      <xdr:rowOff>159039</xdr:rowOff>
    </xdr:from>
    <xdr:to>
      <xdr:col>12</xdr:col>
      <xdr:colOff>168661</xdr:colOff>
      <xdr:row>27</xdr:row>
      <xdr:rowOff>45565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749137" y="3977698"/>
              <a:ext cx="7485592" cy="97757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s-ES" sz="3600" b="1" i="0">
                      <a:latin typeface="Cambria Math" panose="02040503050406030204" pitchFamily="18" charset="0"/>
                    </a:rPr>
                    <m:t>𝚲</m:t>
                  </m:r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p>
                        <m:sSupPr>
                          <m:ctrlP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3600" b="1" i="0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𝐀</m:t>
                          </m:r>
                        </m:e>
                        <m:sup>
                          <m: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−1</m:t>
                          </m:r>
                        </m:sup>
                      </m:sSup>
                    </m:e>
                    <m:e>
                      <m:f>
                        <m:fPr>
                          <m:ctrlPr>
                            <a:rPr lang="fr-FR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m:rPr>
                              <m:sty m:val="p"/>
                            </m:rPr>
                            <a:rPr lang="fr-FR" sz="3600" b="0" i="0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fr-FR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num>
                        <m:den>
                          <m:r>
                            <a:rPr lang="fr-FR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𝜙</m:t>
                          </m:r>
                        </m:den>
                      </m:f>
                      <m:f>
                        <m:fPr>
                          <m:ctrlP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s-ES" sz="3600" b="0" i="1">
                                  <a:solidFill>
                                    <a:schemeClr val="accent6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ES" sz="3600" b="0" i="1">
                                  <a:solidFill>
                                    <a:schemeClr val="accent6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es-ES" sz="3600" b="0" i="1">
                                  <a:solidFill>
                                    <a:schemeClr val="accent6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𝑖𝑛𝑓</m:t>
                              </m:r>
                            </m:sub>
                          </m:sSub>
                        </m:num>
                        <m:den>
                          <m:r>
                            <m:rPr>
                              <m:sty m:val="p"/>
                            </m:rPr>
                            <a:rPr lang="es-ES" sz="3600" b="0" i="0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</m:den>
                      </m:f>
                      <m:r>
                        <a:rPr lang="es-ES" sz="3600" b="1" i="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  <a:latin typeface="Cambria Math" panose="02040503050406030204" pitchFamily="18" charset="0"/>
                        </a:rPr>
                        <m:t>𝐚</m:t>
                      </m:r>
                    </m:e>
                  </m:d>
                </m:oMath>
              </a14:m>
              <a:r>
                <a:rPr lang="es-ES" sz="3600"/>
                <a:t>, 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sSubSup>
                    <m:sSubSup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𝐴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ES" sz="3600" b="0" i="1">
                          <a:latin typeface="Cambria Math" panose="02040503050406030204" pitchFamily="18" charset="0"/>
                        </a:rPr>
                        <m:t>,1</m:t>
                      </m:r>
                    </m:sub>
                    <m:sup>
                      <m:r>
                        <a:rPr lang="es-ES" sz="36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bSup>
                </m:oMath>
              </a14:m>
              <a:endParaRPr lang="es-ES" sz="3600"/>
            </a:p>
          </xdr:txBody>
        </xdr:sp>
      </mc:Choice>
      <mc:Fallback xmlns="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749137" y="3977698"/>
              <a:ext cx="7485592" cy="97757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ES" sz="3600" b="1" i="0">
                  <a:latin typeface="Cambria Math" panose="02040503050406030204" pitchFamily="18" charset="0"/>
                </a:rPr>
                <a:t>𝚲</a:t>
              </a:r>
              <a:r>
                <a:rPr lang="es-ES" sz="3600" b="0" i="0">
                  <a:latin typeface="Cambria Math" panose="02040503050406030204" pitchFamily="18" charset="0"/>
                </a:rPr>
                <a:t>=(</a:t>
              </a:r>
              <a:r>
                <a:rPr lang="es-ES" sz="3600" b="1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𝐀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^(−1)│</a:t>
              </a:r>
              <a:r>
                <a:rPr lang="fr-FR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 𝑞_𝑖𝑛𝑓/Δ𝑥</a:t>
              </a:r>
              <a:r>
                <a:rPr lang="es-ES" sz="3600" b="1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𝐚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)</a:t>
              </a:r>
              <a:r>
                <a:rPr lang="es-ES" sz="3600"/>
                <a:t>, where </a:t>
              </a:r>
              <a:r>
                <a:rPr lang="es-ES" sz="3600" b="0" i="0">
                  <a:latin typeface="Cambria Math" panose="02040503050406030204" pitchFamily="18" charset="0"/>
                </a:rPr>
                <a:t>𝑎_𝑖=𝐴_(𝑖,1)^(−1)</a:t>
              </a:r>
              <a:endParaRPr lang="es-ES" sz="36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227647</xdr:colOff>
      <xdr:row>22</xdr:row>
      <xdr:rowOff>164782</xdr:rowOff>
    </xdr:from>
    <xdr:to>
      <xdr:col>7</xdr:col>
      <xdr:colOff>34291</xdr:colOff>
      <xdr:row>23</xdr:row>
      <xdr:rowOff>166421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𝑂_2(𝑎𝑞) 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𝐻𝐶O_3^−+𝐻^+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3</xdr:col>
      <xdr:colOff>60007</xdr:colOff>
      <xdr:row>24</xdr:row>
      <xdr:rowOff>9524</xdr:rowOff>
    </xdr:from>
    <xdr:to>
      <xdr:col>8</xdr:col>
      <xdr:colOff>709778</xdr:colOff>
      <xdr:row>25</xdr:row>
      <xdr:rowOff>11163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0.8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𝑁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+0.2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0.8𝑁𝑂_3^−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0.4𝑁_2(</a:t>
              </a:r>
              <a:r>
                <a:rPr lang="es-ES" sz="1100" b="0" i="0">
                  <a:latin typeface="Cambria Math" panose="02040503050406030204" pitchFamily="18" charset="0"/>
                </a:rPr>
                <a:t>𝑎𝑞) </a:t>
              </a:r>
              <a:r>
                <a:rPr lang="en-GB" sz="1100" b="0" i="0">
                  <a:latin typeface="Cambria Math" panose="02040503050406030204" pitchFamily="18" charset="0"/>
                </a:rPr>
                <a:t>+𝐻𝐶O_3^−+0.4𝐻_2 𝑂+0.2𝐻^+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580072</xdr:colOff>
      <xdr:row>21</xdr:row>
      <xdr:rowOff>27516</xdr:rowOff>
    </xdr:from>
    <xdr:to>
      <xdr:col>4</xdr:col>
      <xdr:colOff>409896</xdr:colOff>
      <xdr:row>22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i="0">
                  <a:latin typeface="Cambria Math" panose="02040503050406030204" pitchFamily="18" charset="0"/>
                </a:rPr>
                <a:t>𝐻𝐶O_3^−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𝐶𝑂_3^(−2)+𝐻^+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576944</xdr:colOff>
      <xdr:row>20</xdr:row>
      <xdr:rowOff>5922</xdr:rowOff>
    </xdr:from>
    <xdr:to>
      <xdr:col>4</xdr:col>
      <xdr:colOff>183826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𝑂_2(𝑎𝑞) =𝑂_2(𝑔)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249288</xdr:colOff>
      <xdr:row>18</xdr:row>
      <xdr:rowOff>172188</xdr:rowOff>
    </xdr:from>
    <xdr:to>
      <xdr:col>4</xdr:col>
      <xdr:colOff>753427</xdr:colOff>
      <xdr:row>19</xdr:row>
      <xdr:rowOff>174534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p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</m:sup>
                    </m:sSup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𝐻𝐶</m:t>
                    </m:r>
                    <m:sSubSup>
                      <m:sSub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e>
                      <m:sub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 kern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𝐻^+</a:t>
              </a:r>
              <a:r>
                <a:rPr lang="es-ES" sz="1100" b="0" i="0" kern="12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+𝐻𝐶𝑂_3^−</a:t>
              </a:r>
              <a:r>
                <a:rPr lang="es-ES" sz="1100" b="0" i="0">
                  <a:latin typeface="Cambria Math" panose="02040503050406030204" pitchFamily="18" charset="0"/>
                </a:rPr>
                <a:t>=𝐻_2 𝑂+𝐶𝑂_2(𝑔)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4</xdr:col>
      <xdr:colOff>23813</xdr:colOff>
      <xdr:row>7</xdr:row>
      <xdr:rowOff>31750</xdr:rowOff>
    </xdr:from>
    <xdr:to>
      <xdr:col>11</xdr:col>
      <xdr:colOff>139701</xdr:colOff>
      <xdr:row>16</xdr:row>
      <xdr:rowOff>58738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E8C2E8D9-E498-43D5-903E-05CB524C1FC0}"/>
                </a:ext>
              </a:extLst>
            </xdr:cNvPr>
            <xdr:cNvSpPr txBox="1"/>
          </xdr:nvSpPr>
          <xdr:spPr>
            <a:xfrm>
              <a:off x="4095751" y="1309688"/>
              <a:ext cx="5791200" cy="167005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</m:t>
                                    </m:r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E8C2E8D9-E498-43D5-903E-05CB524C1FC0}"/>
                </a:ext>
              </a:extLst>
            </xdr:cNvPr>
            <xdr:cNvSpPr txBox="1"/>
          </xdr:nvSpPr>
          <xdr:spPr>
            <a:xfrm>
              <a:off x="4095751" y="1309688"/>
              <a:ext cx="5791200" cy="167005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𝑟_(𝐾,1)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𝜇_1  [𝐶𝐻_2 𝑂]/(𝐾_𝐷𝑂𝐶+[𝐶𝐻_2 𝑂] )  [𝑂_2(𝑎𝑞)  ]/(𝐾_(𝑂_2 )+[𝑂_2(𝑎𝑞)  ] )@𝑟_(𝐾,2)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𝜇_2  [𝐶𝐻_2 𝑂]/(𝐾_𝐷𝑂𝐶+[𝐶𝐻_2 𝑂] )  [〖𝑁𝑂〗_3^− ]/(𝐾_(𝑁𝑂_3^− )+[〖𝑁𝑂〗_3^− ] )  𝐼_(𝑂_2 )/(𝐼_(𝑂_2 )+[𝑂_2(𝑎𝑞)  ] ))┤</a:t>
              </a:r>
              <a:endParaRPr lang="es-ES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706754</xdr:colOff>
      <xdr:row>0</xdr:row>
      <xdr:rowOff>14287</xdr:rowOff>
    </xdr:from>
    <xdr:to>
      <xdr:col>11</xdr:col>
      <xdr:colOff>706754</xdr:colOff>
      <xdr:row>15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175104-B6D7-422A-A7D9-7003B102E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49530</xdr:rowOff>
    </xdr:from>
    <xdr:to>
      <xdr:col>6</xdr:col>
      <xdr:colOff>0</xdr:colOff>
      <xdr:row>30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59F8B27-6D49-4091-ADE2-8BE5ECA12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721995</xdr:colOff>
      <xdr:row>15</xdr:row>
      <xdr:rowOff>137160</xdr:rowOff>
    </xdr:from>
    <xdr:to>
      <xdr:col>11</xdr:col>
      <xdr:colOff>721995</xdr:colOff>
      <xdr:row>30</xdr:row>
      <xdr:rowOff>137160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C25765-94FB-456E-A645-EC0B88E16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46355</xdr:colOff>
      <xdr:row>15</xdr:row>
      <xdr:rowOff>142875</xdr:rowOff>
    </xdr:from>
    <xdr:to>
      <xdr:col>18</xdr:col>
      <xdr:colOff>46355</xdr:colOff>
      <xdr:row>30</xdr:row>
      <xdr:rowOff>142875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F0849F9-2951-4EFF-A6FD-1D29EA06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745277</xdr:colOff>
      <xdr:row>0</xdr:row>
      <xdr:rowOff>26880</xdr:rowOff>
    </xdr:from>
    <xdr:to>
      <xdr:col>23</xdr:col>
      <xdr:colOff>745277</xdr:colOff>
      <xdr:row>15</xdr:row>
      <xdr:rowOff>26880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08BB06-AB72-4E8E-BCFB-6D1A54AF1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142875</xdr:colOff>
      <xdr:row>15</xdr:row>
      <xdr:rowOff>133350</xdr:rowOff>
    </xdr:from>
    <xdr:to>
      <xdr:col>24</xdr:col>
      <xdr:colOff>142875</xdr:colOff>
      <xdr:row>30</xdr:row>
      <xdr:rowOff>133350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0462322-1B18-417B-A6B6-0CD9D7FE7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36B4C-2125-43AE-95DE-895AB4F16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714375</xdr:colOff>
      <xdr:row>0</xdr:row>
      <xdr:rowOff>9525</xdr:rowOff>
    </xdr:from>
    <xdr:to>
      <xdr:col>17</xdr:col>
      <xdr:colOff>714375</xdr:colOff>
      <xdr:row>15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8CAFD2-1044-4812-BA18-A2632A65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8EEB-AC5E-4942-BCEB-ED76BF43F885}">
  <dimension ref="A1:A20"/>
  <sheetViews>
    <sheetView zoomScale="120" zoomScaleNormal="120" workbookViewId="0">
      <selection activeCell="H4" sqref="H4"/>
    </sheetView>
  </sheetViews>
  <sheetFormatPr baseColWidth="10" defaultRowHeight="14.5" x14ac:dyDescent="0.35"/>
  <sheetData>
    <row r="1" spans="1:1" x14ac:dyDescent="0.35">
      <c r="A1" t="s">
        <v>94</v>
      </c>
    </row>
    <row r="3" spans="1:1" x14ac:dyDescent="0.35">
      <c r="A3" t="s">
        <v>95</v>
      </c>
    </row>
    <row r="5" spans="1:1" x14ac:dyDescent="0.35">
      <c r="A5" t="s">
        <v>57</v>
      </c>
    </row>
    <row r="6" spans="1:1" x14ac:dyDescent="0.35">
      <c r="A6" t="s">
        <v>52</v>
      </c>
    </row>
    <row r="8" spans="1:1" x14ac:dyDescent="0.35">
      <c r="A8" t="s">
        <v>41</v>
      </c>
    </row>
    <row r="10" spans="1:1" x14ac:dyDescent="0.35">
      <c r="A10" t="s">
        <v>90</v>
      </c>
    </row>
    <row r="12" spans="1:1" x14ac:dyDescent="0.35">
      <c r="A12" t="s">
        <v>69</v>
      </c>
    </row>
    <row r="14" spans="1:1" x14ac:dyDescent="0.35">
      <c r="A14" t="s">
        <v>51</v>
      </c>
    </row>
    <row r="16" spans="1:1" x14ac:dyDescent="0.35">
      <c r="A16" t="s">
        <v>73</v>
      </c>
    </row>
    <row r="18" spans="1:1" x14ac:dyDescent="0.35">
      <c r="A18" t="s">
        <v>30</v>
      </c>
    </row>
    <row r="20" spans="1:1" x14ac:dyDescent="0.35">
      <c r="A20" t="s">
        <v>91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0369-823D-4998-BDDD-15CCDCB6AFEF}">
  <dimension ref="A1:AK39"/>
  <sheetViews>
    <sheetView zoomScale="110" zoomScaleNormal="110" workbookViewId="0">
      <selection activeCell="J6" sqref="J6"/>
    </sheetView>
  </sheetViews>
  <sheetFormatPr baseColWidth="10" defaultRowHeight="14.5" x14ac:dyDescent="0.35"/>
  <cols>
    <col min="2" max="2" width="12.7265625" customWidth="1"/>
    <col min="3" max="3" width="14.81640625" customWidth="1"/>
    <col min="5" max="5" width="13" customWidth="1"/>
    <col min="7" max="7" width="18.7265625" customWidth="1"/>
    <col min="8" max="8" width="13" customWidth="1"/>
    <col min="20" max="20" width="18.7265625" customWidth="1"/>
  </cols>
  <sheetData>
    <row r="1" spans="1:37" x14ac:dyDescent="0.35">
      <c r="A1" s="2" t="s">
        <v>0</v>
      </c>
      <c r="B1" s="1">
        <f>$B$3/($E$6)</f>
        <v>0.1</v>
      </c>
      <c r="C1" s="4" t="s">
        <v>9</v>
      </c>
      <c r="D1" s="22" t="s">
        <v>74</v>
      </c>
      <c r="E1">
        <v>1</v>
      </c>
      <c r="F1" s="3"/>
      <c r="G1" s="22" t="s">
        <v>84</v>
      </c>
      <c r="H1" s="45">
        <f>$B$6*$B$4/($B$5^2)</f>
        <v>2.4999999999999996</v>
      </c>
      <c r="I1" s="4" t="s">
        <v>8</v>
      </c>
      <c r="J1" s="3"/>
      <c r="K1" s="13" t="s">
        <v>99</v>
      </c>
      <c r="L1" s="5">
        <f>$B$5/(2*$B$1)+$B$6/($B$1^2)</f>
        <v>20.999999999999996</v>
      </c>
      <c r="M1" s="62" t="s">
        <v>100</v>
      </c>
      <c r="O1" s="13" t="s">
        <v>101</v>
      </c>
      <c r="P1" s="1">
        <f>-$B$2*L1/$B$4</f>
        <v>-0.41999999999999993</v>
      </c>
      <c r="R1" s="2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7" x14ac:dyDescent="0.35">
      <c r="A2" s="2" t="s">
        <v>1</v>
      </c>
      <c r="B2" s="1">
        <v>0.01</v>
      </c>
      <c r="C2" s="4" t="s">
        <v>8</v>
      </c>
      <c r="D2" s="1"/>
      <c r="E2" s="1"/>
      <c r="G2" s="44" t="s">
        <v>85</v>
      </c>
      <c r="H2" s="37">
        <f>$B$7</f>
        <v>1</v>
      </c>
      <c r="I2" s="45" t="s">
        <v>9</v>
      </c>
      <c r="J2" s="37"/>
      <c r="K2" s="53" t="s">
        <v>102</v>
      </c>
      <c r="L2" s="5">
        <f>-$B$5/(2*$B$1)+$B$6/($B$1^2)</f>
        <v>18.999999999999996</v>
      </c>
      <c r="M2" s="62"/>
      <c r="O2" s="53" t="s">
        <v>103</v>
      </c>
      <c r="P2" s="1">
        <f>-$B$2*L2/$B$4</f>
        <v>-0.37999999999999995</v>
      </c>
      <c r="Q2" s="37"/>
      <c r="R2" s="37"/>
      <c r="S2" s="1"/>
      <c r="AF2" s="1"/>
      <c r="AG2" s="1"/>
      <c r="AH2" s="1"/>
      <c r="AI2" s="1"/>
      <c r="AJ2" s="1"/>
      <c r="AK2" s="1"/>
    </row>
    <row r="3" spans="1:37" x14ac:dyDescent="0.35">
      <c r="A3" s="2" t="s">
        <v>16</v>
      </c>
      <c r="B3" s="1">
        <v>1</v>
      </c>
      <c r="C3" s="4" t="s">
        <v>9</v>
      </c>
      <c r="D3" s="23" t="s">
        <v>54</v>
      </c>
      <c r="E3" s="36">
        <f>B5*B2/(B4*B1)</f>
        <v>0.04</v>
      </c>
      <c r="G3" s="19"/>
      <c r="H3" s="37"/>
      <c r="I3" s="37"/>
      <c r="J3" s="37"/>
      <c r="K3" s="53" t="s">
        <v>104</v>
      </c>
      <c r="L3" s="1">
        <f>-L2-L1</f>
        <v>-39.999999999999993</v>
      </c>
      <c r="M3" s="62"/>
      <c r="O3" s="53" t="s">
        <v>105</v>
      </c>
      <c r="P3" s="1">
        <f>1-$B$2*L3/$B$4</f>
        <v>1.7999999999999998</v>
      </c>
      <c r="Q3" s="37"/>
      <c r="R3" s="37"/>
      <c r="S3" s="1"/>
      <c r="AF3" s="1"/>
      <c r="AG3" s="1"/>
      <c r="AH3" s="1"/>
      <c r="AI3" s="1"/>
      <c r="AJ3" s="1"/>
      <c r="AK3" s="1"/>
    </row>
    <row r="4" spans="1:37" x14ac:dyDescent="0.35">
      <c r="A4" s="2" t="s">
        <v>2</v>
      </c>
      <c r="B4" s="1">
        <v>0.5</v>
      </c>
      <c r="C4" s="4"/>
      <c r="D4" s="23" t="s">
        <v>55</v>
      </c>
      <c r="E4" s="36">
        <f>ABS(B5)*B1/B6</f>
        <v>0.10000000000000002</v>
      </c>
      <c r="G4" s="44" t="s">
        <v>89</v>
      </c>
      <c r="H4" s="37">
        <f>$B$5</f>
        <v>0.2</v>
      </c>
      <c r="I4" s="37" t="str">
        <f>C5</f>
        <v>m/d</v>
      </c>
      <c r="J4" s="37"/>
      <c r="K4" s="53" t="s">
        <v>106</v>
      </c>
      <c r="L4" s="1">
        <f>-$B$5/(2*$B$1)-$B$6/($B$1^2)</f>
        <v>-20.999999999999996</v>
      </c>
      <c r="M4" s="62"/>
      <c r="N4" s="37"/>
      <c r="O4" s="37"/>
      <c r="P4" s="37"/>
      <c r="Q4" s="37"/>
      <c r="R4" s="37"/>
      <c r="S4" s="1"/>
      <c r="AF4" s="1"/>
      <c r="AG4" s="1"/>
      <c r="AH4" s="1"/>
      <c r="AI4" s="1"/>
      <c r="AJ4" s="1"/>
      <c r="AK4" s="1"/>
    </row>
    <row r="5" spans="1:37" x14ac:dyDescent="0.35">
      <c r="A5" s="2" t="s">
        <v>10</v>
      </c>
      <c r="B5" s="1">
        <v>0.2</v>
      </c>
      <c r="C5" s="5" t="s">
        <v>12</v>
      </c>
      <c r="D5" s="1"/>
      <c r="E5" s="1"/>
      <c r="G5" s="19"/>
      <c r="H5" s="37"/>
      <c r="I5" s="37"/>
      <c r="J5" s="37"/>
      <c r="K5" s="53" t="s">
        <v>107</v>
      </c>
      <c r="L5" s="1">
        <f>-$L$1</f>
        <v>-20.999999999999996</v>
      </c>
      <c r="M5" s="62"/>
      <c r="N5" s="37"/>
      <c r="O5" s="37"/>
      <c r="P5" s="37"/>
      <c r="Q5" s="37"/>
      <c r="R5" s="37"/>
      <c r="S5" s="1"/>
      <c r="AF5" s="1"/>
      <c r="AG5" s="1"/>
      <c r="AH5" s="1"/>
      <c r="AI5" s="1"/>
      <c r="AJ5" s="1"/>
      <c r="AK5" s="1"/>
    </row>
    <row r="6" spans="1:37" x14ac:dyDescent="0.35">
      <c r="A6" s="2" t="s">
        <v>11</v>
      </c>
      <c r="B6" s="1">
        <f>$B$5*$B$7</f>
        <v>0.2</v>
      </c>
      <c r="C6" s="5" t="s">
        <v>13</v>
      </c>
      <c r="D6" s="23" t="s">
        <v>77</v>
      </c>
      <c r="E6">
        <v>10</v>
      </c>
      <c r="G6" s="44" t="s">
        <v>92</v>
      </c>
      <c r="H6" s="46" t="s">
        <v>93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1"/>
      <c r="AF6" s="1"/>
      <c r="AG6" s="1"/>
      <c r="AH6" s="1"/>
      <c r="AI6" s="1"/>
      <c r="AJ6" s="1"/>
      <c r="AK6" s="1"/>
    </row>
    <row r="7" spans="1:37" x14ac:dyDescent="0.35">
      <c r="A7" s="2" t="s">
        <v>76</v>
      </c>
      <c r="B7" s="1">
        <v>1</v>
      </c>
      <c r="C7" s="5" t="s">
        <v>9</v>
      </c>
      <c r="D7" s="1"/>
      <c r="E7" s="1"/>
      <c r="G7" s="19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1"/>
      <c r="AF7" s="1"/>
      <c r="AG7" s="1"/>
      <c r="AH7" s="1"/>
      <c r="AI7" s="1"/>
      <c r="AJ7" s="1"/>
      <c r="AK7" s="1"/>
    </row>
    <row r="8" spans="1:37" x14ac:dyDescent="0.35">
      <c r="A8" s="58" t="s">
        <v>20</v>
      </c>
      <c r="B8" s="58"/>
      <c r="C8" s="58"/>
      <c r="D8" s="58"/>
      <c r="E8" s="1"/>
      <c r="G8" s="19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1"/>
      <c r="AF8" s="1"/>
      <c r="AG8" s="1"/>
      <c r="AH8" s="1"/>
      <c r="AI8" s="1"/>
      <c r="AJ8" s="1"/>
      <c r="AK8" s="1"/>
    </row>
    <row r="9" spans="1:37" x14ac:dyDescent="0.35">
      <c r="A9" s="21" t="s">
        <v>50</v>
      </c>
      <c r="B9" s="21" t="s">
        <v>48</v>
      </c>
      <c r="C9" s="21" t="s">
        <v>49</v>
      </c>
      <c r="D9" s="3"/>
      <c r="E9" s="1"/>
      <c r="G9" s="19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1"/>
      <c r="AF9" s="1"/>
      <c r="AG9" s="1"/>
      <c r="AH9" s="1"/>
      <c r="AI9" s="1"/>
      <c r="AJ9" s="1"/>
      <c r="AK9" s="1"/>
    </row>
    <row r="10" spans="1:37" x14ac:dyDescent="0.35">
      <c r="A10">
        <v>1</v>
      </c>
      <c r="B10" s="6">
        <v>1</v>
      </c>
      <c r="C10" s="4"/>
      <c r="D10" s="34" t="s">
        <v>87</v>
      </c>
      <c r="E10" s="1"/>
      <c r="G10" s="19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1"/>
      <c r="AF10" s="1"/>
      <c r="AG10" s="1"/>
      <c r="AH10" s="1"/>
      <c r="AI10" s="1"/>
      <c r="AJ10" s="1"/>
      <c r="AK10" s="1"/>
    </row>
    <row r="11" spans="1:37" x14ac:dyDescent="0.35">
      <c r="A11">
        <v>2</v>
      </c>
      <c r="B11" s="7">
        <v>2</v>
      </c>
      <c r="C11" s="9">
        <v>1</v>
      </c>
      <c r="D11" s="59" t="s">
        <v>53</v>
      </c>
      <c r="E11" s="1"/>
      <c r="G11" s="19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1"/>
      <c r="AF11" s="1"/>
      <c r="AG11" s="1"/>
      <c r="AH11" s="1"/>
      <c r="AI11" s="1"/>
      <c r="AJ11" s="1"/>
      <c r="AK11" s="1"/>
    </row>
    <row r="12" spans="1:37" x14ac:dyDescent="0.35">
      <c r="A12">
        <v>3</v>
      </c>
      <c r="B12" s="7">
        <v>2</v>
      </c>
      <c r="C12" s="9">
        <v>1</v>
      </c>
      <c r="D12" s="60"/>
      <c r="E12" s="1"/>
      <c r="R12" s="1"/>
      <c r="S12" s="1"/>
      <c r="AF12" s="1"/>
      <c r="AG12" s="1"/>
      <c r="AH12" s="1"/>
      <c r="AI12" s="1"/>
      <c r="AJ12" s="1"/>
      <c r="AK12" s="1"/>
    </row>
    <row r="13" spans="1:37" x14ac:dyDescent="0.35">
      <c r="A13">
        <v>4</v>
      </c>
      <c r="B13" s="7">
        <v>2</v>
      </c>
      <c r="C13" s="9">
        <v>1</v>
      </c>
      <c r="D13" s="60"/>
      <c r="E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35">
      <c r="A14">
        <v>5</v>
      </c>
      <c r="B14" s="7">
        <v>2</v>
      </c>
      <c r="C14" s="9">
        <v>1</v>
      </c>
      <c r="D14" s="6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35">
      <c r="A15">
        <v>6</v>
      </c>
      <c r="B15" s="7">
        <v>2</v>
      </c>
      <c r="C15" s="9">
        <v>1</v>
      </c>
      <c r="D15" s="60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35">
      <c r="A16">
        <v>7</v>
      </c>
      <c r="B16" s="7">
        <v>2</v>
      </c>
      <c r="C16" s="9">
        <v>1</v>
      </c>
      <c r="D16" s="6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35">
      <c r="A17">
        <v>8</v>
      </c>
      <c r="B17" s="7">
        <v>2</v>
      </c>
      <c r="C17" s="9">
        <v>1</v>
      </c>
      <c r="D17" s="60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5">
      <c r="A18">
        <v>9</v>
      </c>
      <c r="B18" s="7">
        <v>2</v>
      </c>
      <c r="C18" s="9">
        <v>1</v>
      </c>
      <c r="D18" s="60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35">
      <c r="A19">
        <v>10</v>
      </c>
      <c r="B19" s="7">
        <v>2</v>
      </c>
      <c r="C19" s="9">
        <v>1</v>
      </c>
      <c r="D19" s="60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35">
      <c r="A20">
        <v>11</v>
      </c>
      <c r="B20" s="7">
        <v>2</v>
      </c>
      <c r="C20" s="9">
        <v>1</v>
      </c>
      <c r="D20" s="6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35">
      <c r="A21">
        <v>12</v>
      </c>
      <c r="B21" s="7">
        <v>2</v>
      </c>
      <c r="C21" s="4"/>
      <c r="D21" t="s">
        <v>88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35">
      <c r="A22" s="2" t="s">
        <v>67</v>
      </c>
      <c r="B22" s="8"/>
      <c r="C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35">
      <c r="B23" s="8"/>
      <c r="C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35">
      <c r="B24" s="8"/>
      <c r="C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35">
      <c r="B25" s="8"/>
      <c r="C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5">
      <c r="B26" s="8"/>
      <c r="C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5">
      <c r="B27" s="8"/>
      <c r="C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5">
      <c r="A28" s="2" t="s">
        <v>68</v>
      </c>
      <c r="B28" s="8"/>
      <c r="C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5">
      <c r="B29" s="8"/>
      <c r="C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5">
      <c r="B30" s="8"/>
      <c r="C30" s="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5">
      <c r="B31" s="8"/>
      <c r="C31" s="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5">
      <c r="B32" s="8"/>
      <c r="C32" s="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7" x14ac:dyDescent="0.35">
      <c r="B33" s="8"/>
      <c r="C33" s="4"/>
    </row>
    <row r="34" spans="2:7" x14ac:dyDescent="0.35">
      <c r="B34" s="8"/>
      <c r="C34" s="4"/>
      <c r="F34" s="2"/>
      <c r="G34" s="2"/>
    </row>
    <row r="35" spans="2:7" x14ac:dyDescent="0.35">
      <c r="B35" s="8"/>
      <c r="C35" s="4"/>
    </row>
    <row r="36" spans="2:7" x14ac:dyDescent="0.35">
      <c r="B36" s="8"/>
      <c r="C36" s="4"/>
    </row>
    <row r="37" spans="2:7" x14ac:dyDescent="0.35">
      <c r="B37" s="8"/>
      <c r="C37" s="4"/>
    </row>
    <row r="38" spans="2:7" x14ac:dyDescent="0.35">
      <c r="B38" s="8"/>
      <c r="C38" s="4"/>
    </row>
    <row r="39" spans="2:7" x14ac:dyDescent="0.35">
      <c r="B39" s="8"/>
      <c r="C39" s="4"/>
    </row>
  </sheetData>
  <mergeCells count="3">
    <mergeCell ref="A8:D8"/>
    <mergeCell ref="D11:D20"/>
    <mergeCell ref="M1:M5"/>
  </mergeCells>
  <pageMargins left="0.7" right="0.7" top="0.75" bottom="0.75" header="0.3" footer="0.3"/>
  <pageSetup paperSize="9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84C4-1D58-4A1E-801B-92B7393CB6A7}">
  <dimension ref="A1:N11"/>
  <sheetViews>
    <sheetView zoomScale="110" zoomScaleNormal="110" workbookViewId="0">
      <selection activeCell="N23" sqref="N23"/>
    </sheetView>
  </sheetViews>
  <sheetFormatPr baseColWidth="10" defaultRowHeight="14.5" x14ac:dyDescent="0.35"/>
  <cols>
    <col min="1" max="1" width="11.08984375" bestFit="1" customWidth="1"/>
    <col min="3" max="13" width="10.7265625" bestFit="1" customWidth="1"/>
    <col min="14" max="14" width="11.08984375" bestFit="1" customWidth="1"/>
  </cols>
  <sheetData>
    <row r="1" spans="1:14" x14ac:dyDescent="0.35">
      <c r="A1" s="41" t="s">
        <v>59</v>
      </c>
      <c r="B1" s="2" t="s">
        <v>78</v>
      </c>
      <c r="C1" s="49" t="s">
        <v>79</v>
      </c>
      <c r="D1" s="47">
        <v>1</v>
      </c>
      <c r="E1" s="47">
        <v>2</v>
      </c>
      <c r="F1" s="47">
        <v>3</v>
      </c>
      <c r="G1" s="47">
        <v>4</v>
      </c>
      <c r="H1" s="47">
        <v>5</v>
      </c>
      <c r="I1" s="47">
        <v>6</v>
      </c>
      <c r="J1" s="47">
        <v>7</v>
      </c>
      <c r="K1" s="47">
        <v>8</v>
      </c>
      <c r="L1" s="47">
        <v>9</v>
      </c>
      <c r="M1" s="47">
        <v>10</v>
      </c>
      <c r="N1" t="s">
        <v>80</v>
      </c>
    </row>
    <row r="2" spans="1:14" x14ac:dyDescent="0.35">
      <c r="A2" s="42">
        <f>SUM(C2:N2)</f>
        <v>0.99999999999999933</v>
      </c>
      <c r="B2">
        <v>1</v>
      </c>
      <c r="C2" s="50">
        <v>3.0155137489112999E-2</v>
      </c>
      <c r="D2" s="48">
        <v>0.75387843722782499</v>
      </c>
      <c r="E2" s="48">
        <v>0.16787471634169601</v>
      </c>
      <c r="F2" s="48">
        <v>3.7382579210665103E-2</v>
      </c>
      <c r="G2" s="48">
        <v>8.3244056413159795E-3</v>
      </c>
      <c r="H2" s="48">
        <v>1.8536906055143501E-3</v>
      </c>
      <c r="I2" s="48">
        <v>4.1278320529942601E-4</v>
      </c>
      <c r="J2" s="48">
        <v>9.1922236770269804E-5</v>
      </c>
      <c r="K2" s="48">
        <v>2.0481924220723501E-5</v>
      </c>
      <c r="L2" s="48">
        <v>4.6119372014281502E-6</v>
      </c>
      <c r="M2" s="48">
        <v>1.2341803778469701E-6</v>
      </c>
      <c r="N2" s="19">
        <v>0</v>
      </c>
    </row>
    <row r="3" spans="1:14" x14ac:dyDescent="0.35">
      <c r="A3" s="42">
        <f t="shared" ref="A3:A11" si="0">SUM(C3:N3)</f>
        <v>0.99999999999999867</v>
      </c>
      <c r="B3">
        <v>2</v>
      </c>
      <c r="C3" s="50">
        <v>7.4218295645802502E-3</v>
      </c>
      <c r="D3" s="48">
        <v>0.185545739114506</v>
      </c>
      <c r="E3" s="48">
        <v>0.62732130843475897</v>
      </c>
      <c r="F3" s="48">
        <v>0.139692795997748</v>
      </c>
      <c r="G3" s="48">
        <v>3.1106989501759701E-2</v>
      </c>
      <c r="H3" s="48">
        <v>6.9269491048167897E-3</v>
      </c>
      <c r="I3" s="48">
        <v>1.5425056619083801E-3</v>
      </c>
      <c r="J3" s="48">
        <v>3.4349888477311298E-4</v>
      </c>
      <c r="K3" s="48">
        <v>7.6537716824809094E-5</v>
      </c>
      <c r="L3" s="48">
        <v>1.7234081121126199E-5</v>
      </c>
      <c r="M3" s="48">
        <v>4.6119372014281502E-6</v>
      </c>
      <c r="N3" s="19">
        <v>0</v>
      </c>
    </row>
    <row r="4" spans="1:14" x14ac:dyDescent="0.35">
      <c r="A4" s="42">
        <f t="shared" si="0"/>
        <v>0.999999999999997</v>
      </c>
      <c r="B4">
        <v>3</v>
      </c>
      <c r="C4" s="50">
        <v>1.8266722916236301E-3</v>
      </c>
      <c r="D4" s="48">
        <v>4.5666807290590902E-2</v>
      </c>
      <c r="E4" s="48">
        <v>0.154397300839616</v>
      </c>
      <c r="F4" s="48">
        <v>0.62038513033544196</v>
      </c>
      <c r="G4" s="48">
        <v>0.13814823877319601</v>
      </c>
      <c r="H4" s="48">
        <v>3.0763048248300499E-2</v>
      </c>
      <c r="I4" s="48">
        <v>6.8503716979192797E-3</v>
      </c>
      <c r="J4" s="48">
        <v>1.5255017188107599E-3</v>
      </c>
      <c r="K4" s="48">
        <v>3.3990916345250598E-4</v>
      </c>
      <c r="L4" s="48">
        <v>7.6537716824808999E-5</v>
      </c>
      <c r="M4" s="48">
        <v>2.0481924220723501E-5</v>
      </c>
      <c r="N4" s="19">
        <v>0</v>
      </c>
    </row>
    <row r="5" spans="1:14" x14ac:dyDescent="0.35">
      <c r="A5" s="42">
        <f t="shared" si="0"/>
        <v>0.99999999999999867</v>
      </c>
      <c r="B5">
        <v>4</v>
      </c>
      <c r="C5" s="50">
        <v>4.4958344157589898E-4</v>
      </c>
      <c r="D5" s="48">
        <v>1.12395860393974E-2</v>
      </c>
      <c r="E5" s="48">
        <v>3.8000505180820002E-2</v>
      </c>
      <c r="F5" s="48">
        <v>0.15269015864405899</v>
      </c>
      <c r="G5" s="48">
        <v>0.62000498473951404</v>
      </c>
      <c r="H5" s="48">
        <v>0.13806360058662601</v>
      </c>
      <c r="I5" s="48">
        <v>3.0744254416455698E-2</v>
      </c>
      <c r="J5" s="48">
        <v>6.8464041111965098E-3</v>
      </c>
      <c r="K5" s="48">
        <v>1.5255017188107599E-3</v>
      </c>
      <c r="L5" s="48">
        <v>3.4349888477311298E-4</v>
      </c>
      <c r="M5" s="48">
        <v>9.1922236770269899E-5</v>
      </c>
      <c r="N5" s="19">
        <v>0</v>
      </c>
    </row>
    <row r="6" spans="1:14" x14ac:dyDescent="0.35">
      <c r="A6" s="42">
        <f t="shared" si="0"/>
        <v>0.99999999999999767</v>
      </c>
      <c r="B6">
        <v>5</v>
      </c>
      <c r="C6" s="50">
        <v>1.10652190407083E-4</v>
      </c>
      <c r="D6" s="48">
        <v>2.76630476017707E-3</v>
      </c>
      <c r="E6" s="48">
        <v>9.3527446653605892E-3</v>
      </c>
      <c r="F6" s="48">
        <v>3.7580344259004202E-2</v>
      </c>
      <c r="G6" s="48">
        <v>0.152596611174691</v>
      </c>
      <c r="H6" s="48">
        <v>0.61998421260958003</v>
      </c>
      <c r="I6" s="48">
        <v>0.13805921535919499</v>
      </c>
      <c r="J6" s="48">
        <v>3.0744254416455698E-2</v>
      </c>
      <c r="K6" s="48">
        <v>6.8503716979192901E-3</v>
      </c>
      <c r="L6" s="48">
        <v>1.5425056619083801E-3</v>
      </c>
      <c r="M6" s="48">
        <v>4.1278320529942601E-4</v>
      </c>
      <c r="N6" s="19">
        <v>0</v>
      </c>
    </row>
    <row r="7" spans="1:14" x14ac:dyDescent="0.35">
      <c r="A7" s="42">
        <f t="shared" si="0"/>
        <v>0.99999999999999922</v>
      </c>
      <c r="B7">
        <v>6</v>
      </c>
      <c r="C7" s="50">
        <v>2.7233940186504501E-5</v>
      </c>
      <c r="D7" s="48">
        <v>6.8084850466261298E-4</v>
      </c>
      <c r="E7" s="48">
        <v>2.3019163729069299E-3</v>
      </c>
      <c r="F7" s="48">
        <v>9.2493500939540008E-3</v>
      </c>
      <c r="G7" s="48">
        <v>3.7557385589077501E-2</v>
      </c>
      <c r="H7" s="48">
        <v>0.15259176434437399</v>
      </c>
      <c r="I7" s="48">
        <v>0.61998421260958003</v>
      </c>
      <c r="J7" s="48">
        <v>0.13806360058662601</v>
      </c>
      <c r="K7" s="48">
        <v>3.0763048248300499E-2</v>
      </c>
      <c r="L7" s="48">
        <v>6.9269491048167897E-3</v>
      </c>
      <c r="M7" s="48">
        <v>1.8536906055143501E-3</v>
      </c>
      <c r="N7" s="19">
        <v>0</v>
      </c>
    </row>
    <row r="8" spans="1:14" x14ac:dyDescent="0.35">
      <c r="A8" s="42">
        <f t="shared" si="0"/>
        <v>0.99999999999999789</v>
      </c>
      <c r="B8">
        <v>7</v>
      </c>
      <c r="C8" s="50">
        <v>6.7030851703507102E-6</v>
      </c>
      <c r="D8" s="48">
        <v>1.6757712925876799E-4</v>
      </c>
      <c r="E8" s="48">
        <v>5.6657029416059602E-4</v>
      </c>
      <c r="F8" s="48">
        <v>2.2765410008827101E-3</v>
      </c>
      <c r="G8" s="48">
        <v>9.2439930709711099E-3</v>
      </c>
      <c r="H8" s="48">
        <v>3.7557385589077501E-2</v>
      </c>
      <c r="I8" s="48">
        <v>0.152596611174691</v>
      </c>
      <c r="J8" s="48">
        <v>0.62000498473951404</v>
      </c>
      <c r="K8" s="48">
        <v>0.13814823877319601</v>
      </c>
      <c r="L8" s="48">
        <v>3.1106989501759701E-2</v>
      </c>
      <c r="M8" s="48">
        <v>8.3244056413159899E-3</v>
      </c>
      <c r="N8" s="19">
        <v>0</v>
      </c>
    </row>
    <row r="9" spans="1:14" x14ac:dyDescent="0.35">
      <c r="A9" s="42">
        <f t="shared" si="0"/>
        <v>0.99999999999999845</v>
      </c>
      <c r="B9">
        <v>8</v>
      </c>
      <c r="C9" s="50">
        <v>1.6507853376299901E-6</v>
      </c>
      <c r="D9" s="48">
        <v>4.1269633440749697E-5</v>
      </c>
      <c r="E9" s="48">
        <v>1.3953066544253399E-4</v>
      </c>
      <c r="F9" s="48">
        <v>5.6064937402161401E-4</v>
      </c>
      <c r="G9" s="48">
        <v>2.2765410008827101E-3</v>
      </c>
      <c r="H9" s="48">
        <v>9.2493500939540008E-3</v>
      </c>
      <c r="I9" s="48">
        <v>3.7580344259004202E-2</v>
      </c>
      <c r="J9" s="48">
        <v>0.15269015864405899</v>
      </c>
      <c r="K9" s="48">
        <v>0.62038513033544296</v>
      </c>
      <c r="L9" s="48">
        <v>0.139692795997748</v>
      </c>
      <c r="M9" s="48">
        <v>3.7382579210665103E-2</v>
      </c>
      <c r="N9" s="19">
        <v>0</v>
      </c>
    </row>
    <row r="10" spans="1:14" x14ac:dyDescent="0.35">
      <c r="A10" s="42">
        <f t="shared" si="0"/>
        <v>0.99999999999999944</v>
      </c>
      <c r="B10">
        <v>9</v>
      </c>
      <c r="C10" s="50">
        <v>4.1083641101757799E-7</v>
      </c>
      <c r="D10" s="48">
        <v>1.02709102754394E-5</v>
      </c>
      <c r="E10" s="48">
        <v>3.47254585502953E-5</v>
      </c>
      <c r="F10" s="48">
        <v>1.3953066544253399E-4</v>
      </c>
      <c r="G10" s="48">
        <v>5.6657029416059602E-4</v>
      </c>
      <c r="H10" s="48">
        <v>2.3019163729069299E-3</v>
      </c>
      <c r="I10" s="48">
        <v>9.3527446653605892E-3</v>
      </c>
      <c r="J10" s="48">
        <v>3.8000505180820002E-2</v>
      </c>
      <c r="K10" s="48">
        <v>0.154397300839617</v>
      </c>
      <c r="L10" s="48">
        <v>0.62732130843475897</v>
      </c>
      <c r="M10" s="48">
        <v>0.16787471634169601</v>
      </c>
      <c r="N10" s="19">
        <v>0</v>
      </c>
    </row>
    <row r="11" spans="1:14" x14ac:dyDescent="0.35">
      <c r="A11" s="42">
        <f t="shared" si="0"/>
        <v>0.99999999999999889</v>
      </c>
      <c r="B11">
        <v>10</v>
      </c>
      <c r="C11" s="50">
        <v>1.2151499480801601E-7</v>
      </c>
      <c r="D11" s="48">
        <v>3.0378748702003998E-6</v>
      </c>
      <c r="E11" s="48">
        <v>1.02709102754394E-5</v>
      </c>
      <c r="F11" s="48">
        <v>4.1269633440749697E-5</v>
      </c>
      <c r="G11" s="48">
        <v>1.6757712925876799E-4</v>
      </c>
      <c r="H11" s="48">
        <v>6.8084850466261298E-4</v>
      </c>
      <c r="I11" s="48">
        <v>2.76630476017707E-3</v>
      </c>
      <c r="J11" s="48">
        <v>1.12395860393974E-2</v>
      </c>
      <c r="K11" s="48">
        <v>4.5666807290590902E-2</v>
      </c>
      <c r="L11" s="48">
        <v>0.185545739114506</v>
      </c>
      <c r="M11" s="48">
        <v>0.75387843722782499</v>
      </c>
      <c r="N11" s="1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B57A-DA42-4CE1-A200-4E82C9122750}">
  <dimension ref="A1:M47"/>
  <sheetViews>
    <sheetView zoomScale="120" zoomScaleNormal="120" workbookViewId="0">
      <selection activeCell="C8" sqref="C8"/>
    </sheetView>
  </sheetViews>
  <sheetFormatPr baseColWidth="10" defaultRowHeight="14.5" x14ac:dyDescent="0.35"/>
  <cols>
    <col min="1" max="1" width="19.08984375" customWidth="1"/>
    <col min="2" max="2" width="14.81640625" customWidth="1"/>
    <col min="3" max="3" width="13.36328125" customWidth="1"/>
    <col min="7" max="7" width="13" bestFit="1" customWidth="1"/>
    <col min="8" max="8" width="13.7265625" customWidth="1"/>
    <col min="12" max="12" width="13.26953125" customWidth="1"/>
    <col min="13" max="13" width="13.36328125" customWidth="1"/>
    <col min="14" max="14" width="14.26953125" customWidth="1"/>
  </cols>
  <sheetData>
    <row r="1" spans="1:13" x14ac:dyDescent="0.35">
      <c r="A1" s="2" t="s">
        <v>75</v>
      </c>
      <c r="B1">
        <v>1</v>
      </c>
      <c r="E1" t="s">
        <v>4</v>
      </c>
      <c r="F1" t="s">
        <v>56</v>
      </c>
      <c r="G1" t="s">
        <v>23</v>
      </c>
      <c r="H1" t="s">
        <v>97</v>
      </c>
      <c r="I1" t="s">
        <v>21</v>
      </c>
      <c r="J1" t="s">
        <v>98</v>
      </c>
      <c r="K1" t="s">
        <v>22</v>
      </c>
      <c r="L1" t="s">
        <v>27</v>
      </c>
      <c r="M1" t="s">
        <v>6</v>
      </c>
    </row>
    <row r="2" spans="1:13" x14ac:dyDescent="0.35">
      <c r="A2" s="11"/>
      <c r="D2" s="57" t="s">
        <v>45</v>
      </c>
      <c r="E2">
        <v>1</v>
      </c>
      <c r="F2">
        <v>0</v>
      </c>
      <c r="G2">
        <v>0</v>
      </c>
      <c r="H2">
        <v>0</v>
      </c>
      <c r="I2">
        <v>-1</v>
      </c>
      <c r="J2">
        <v>1</v>
      </c>
      <c r="K2">
        <v>-1</v>
      </c>
      <c r="L2">
        <v>0</v>
      </c>
      <c r="M2">
        <v>0</v>
      </c>
    </row>
    <row r="3" spans="1:13" x14ac:dyDescent="0.35">
      <c r="A3" s="13" t="s">
        <v>37</v>
      </c>
      <c r="B3" t="str">
        <f>'wat types'!A2</f>
        <v xml:space="preserve">h2o(p)         </v>
      </c>
      <c r="D3" s="57"/>
      <c r="E3">
        <v>0.2</v>
      </c>
      <c r="F3">
        <v>0</v>
      </c>
      <c r="G3">
        <v>-0.8</v>
      </c>
      <c r="H3">
        <v>0.4</v>
      </c>
      <c r="I3">
        <v>-1</v>
      </c>
      <c r="J3">
        <v>1</v>
      </c>
      <c r="K3">
        <v>0</v>
      </c>
      <c r="L3">
        <v>0</v>
      </c>
      <c r="M3">
        <v>0.4</v>
      </c>
    </row>
    <row r="4" spans="1:13" x14ac:dyDescent="0.35">
      <c r="A4" s="13"/>
      <c r="B4" t="str">
        <f>'wat types'!A3</f>
        <v>h+</v>
      </c>
      <c r="D4" s="11"/>
    </row>
    <row r="5" spans="1:13" x14ac:dyDescent="0.35">
      <c r="A5" s="11"/>
      <c r="B5" t="str">
        <f>'wat types'!A4</f>
        <v>cl-</v>
      </c>
      <c r="D5" t="s">
        <v>60</v>
      </c>
      <c r="E5" s="35">
        <v>0.5</v>
      </c>
      <c r="F5" t="s">
        <v>61</v>
      </c>
      <c r="G5" s="1">
        <v>1E-3</v>
      </c>
      <c r="H5" t="s">
        <v>62</v>
      </c>
      <c r="I5" s="1">
        <v>1.0000000000000001E-5</v>
      </c>
    </row>
    <row r="6" spans="1:13" x14ac:dyDescent="0.35">
      <c r="A6" s="11"/>
      <c r="B6" t="str">
        <f>'wat types'!A5</f>
        <v>no3-</v>
      </c>
      <c r="D6" t="s">
        <v>63</v>
      </c>
      <c r="E6" s="35">
        <v>2</v>
      </c>
      <c r="F6" t="s">
        <v>61</v>
      </c>
      <c r="G6" s="1">
        <v>1.4E-3</v>
      </c>
      <c r="H6" t="s">
        <v>65</v>
      </c>
      <c r="I6" s="1">
        <v>5.8999999999999999E-3</v>
      </c>
      <c r="J6" t="s">
        <v>64</v>
      </c>
      <c r="K6" s="1">
        <v>2.5199999999999999E-5</v>
      </c>
    </row>
    <row r="7" spans="1:13" x14ac:dyDescent="0.35">
      <c r="A7" s="11"/>
      <c r="B7" t="str">
        <f>'wat types'!A6</f>
        <v>n2(aq)(p)</v>
      </c>
    </row>
    <row r="8" spans="1:13" x14ac:dyDescent="0.35">
      <c r="A8" s="11"/>
      <c r="B8" t="str">
        <f>'wat types'!A7</f>
        <v>ch2o(aq)</v>
      </c>
    </row>
    <row r="9" spans="1:13" x14ac:dyDescent="0.35">
      <c r="B9" t="str">
        <f>'wat types'!A8</f>
        <v>hco3-</v>
      </c>
    </row>
    <row r="10" spans="1:13" x14ac:dyDescent="0.35">
      <c r="B10" t="str">
        <f>'wat types'!A9</f>
        <v>o2(aq)</v>
      </c>
    </row>
    <row r="11" spans="1:13" x14ac:dyDescent="0.35">
      <c r="B11" t="str">
        <f>'wat types'!A10</f>
        <v>co3-2</v>
      </c>
      <c r="E11" s="10"/>
    </row>
    <row r="13" spans="1:13" x14ac:dyDescent="0.35">
      <c r="A13" s="2"/>
      <c r="C13" s="2" t="s">
        <v>46</v>
      </c>
    </row>
    <row r="14" spans="1:13" x14ac:dyDescent="0.35">
      <c r="A14" s="2" t="s">
        <v>38</v>
      </c>
      <c r="B14" t="s">
        <v>35</v>
      </c>
      <c r="C14" s="1">
        <v>3.5E-4</v>
      </c>
    </row>
    <row r="15" spans="1:13" x14ac:dyDescent="0.35">
      <c r="A15" s="2"/>
      <c r="B15" t="s">
        <v>24</v>
      </c>
      <c r="C15" s="1">
        <v>0.2</v>
      </c>
    </row>
    <row r="16" spans="1:13" x14ac:dyDescent="0.35">
      <c r="C16" s="1"/>
    </row>
    <row r="17" spans="1:12" x14ac:dyDescent="0.35">
      <c r="A17" s="2" t="s">
        <v>14</v>
      </c>
      <c r="B17" s="14" t="s">
        <v>15</v>
      </c>
    </row>
    <row r="19" spans="1:12" x14ac:dyDescent="0.35">
      <c r="A19" s="2" t="s">
        <v>31</v>
      </c>
      <c r="G19" s="2" t="s">
        <v>19</v>
      </c>
      <c r="H19" s="2" t="s">
        <v>47</v>
      </c>
    </row>
    <row r="20" spans="1:12" x14ac:dyDescent="0.35">
      <c r="B20" t="s">
        <v>35</v>
      </c>
      <c r="G20" s="20">
        <f>1/(H20*C14)</f>
        <v>186008142409.96078</v>
      </c>
      <c r="H20" s="20">
        <f>10^(-7.8136)</f>
        <v>1.5360310683850236E-8</v>
      </c>
    </row>
    <row r="21" spans="1:12" x14ac:dyDescent="0.35">
      <c r="B21" t="s">
        <v>24</v>
      </c>
      <c r="G21" s="20">
        <f>1/(H21*C15)</f>
        <v>3953.3931399991297</v>
      </c>
      <c r="H21" s="20">
        <f>10^(-2.898)</f>
        <v>1.26473634747115E-3</v>
      </c>
    </row>
    <row r="22" spans="1:12" x14ac:dyDescent="0.35">
      <c r="B22" t="s">
        <v>27</v>
      </c>
      <c r="G22" s="20">
        <f>1/H22</f>
        <v>4.6902932840593767E-11</v>
      </c>
      <c r="H22" s="20">
        <f>10^(10.3288)</f>
        <v>21320628358.116562</v>
      </c>
    </row>
    <row r="24" spans="1:12" x14ac:dyDescent="0.35">
      <c r="A24" s="2" t="s">
        <v>32</v>
      </c>
      <c r="B24" t="s">
        <v>33</v>
      </c>
    </row>
    <row r="25" spans="1:12" x14ac:dyDescent="0.35">
      <c r="B25" t="s">
        <v>34</v>
      </c>
    </row>
    <row r="27" spans="1:12" x14ac:dyDescent="0.35">
      <c r="A27" s="2" t="s">
        <v>39</v>
      </c>
    </row>
    <row r="28" spans="1:12" x14ac:dyDescent="0.35">
      <c r="C28" t="str">
        <f>E1</f>
        <v>h+</v>
      </c>
      <c r="D28" t="str">
        <f t="shared" ref="D28:K28" si="0">F1</f>
        <v>cl-</v>
      </c>
      <c r="E28" t="str">
        <f t="shared" si="0"/>
        <v>no3-</v>
      </c>
      <c r="F28" t="str">
        <f t="shared" si="0"/>
        <v>n2(aq)(p)</v>
      </c>
      <c r="G28" t="str">
        <f t="shared" si="0"/>
        <v>ch2o(aq)</v>
      </c>
      <c r="H28" t="str">
        <f t="shared" si="0"/>
        <v>hco3-</v>
      </c>
      <c r="I28" t="str">
        <f t="shared" si="0"/>
        <v>o2(aq)</v>
      </c>
      <c r="J28" t="str">
        <f t="shared" si="0"/>
        <v xml:space="preserve">co3-2          </v>
      </c>
      <c r="K28" t="str">
        <f t="shared" si="0"/>
        <v>h2o</v>
      </c>
      <c r="L28" s="2" t="s">
        <v>19</v>
      </c>
    </row>
    <row r="29" spans="1:12" x14ac:dyDescent="0.35">
      <c r="B29" s="12" t="s">
        <v>44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-1</v>
      </c>
      <c r="J29">
        <v>1</v>
      </c>
      <c r="K29">
        <v>0</v>
      </c>
      <c r="L29" s="20">
        <f>1/H22</f>
        <v>4.6902932840593767E-11</v>
      </c>
    </row>
    <row r="30" spans="1:12" x14ac:dyDescent="0.35">
      <c r="B30" s="12"/>
    </row>
    <row r="31" spans="1:12" x14ac:dyDescent="0.35">
      <c r="B31" s="57" t="s">
        <v>17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-1</v>
      </c>
    </row>
    <row r="32" spans="1:12" x14ac:dyDescent="0.35">
      <c r="B32" s="57"/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2:10" x14ac:dyDescent="0.35">
      <c r="B33" s="57"/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2:10" x14ac:dyDescent="0.35">
      <c r="B34" s="57"/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2:10" x14ac:dyDescent="0.35">
      <c r="B35" s="57"/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</row>
    <row r="36" spans="2:10" x14ac:dyDescent="0.35">
      <c r="B36" s="57"/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</row>
    <row r="37" spans="2:10" x14ac:dyDescent="0.35">
      <c r="B37" s="57"/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9" spans="2:10" x14ac:dyDescent="0.35">
      <c r="B39" s="2" t="s">
        <v>40</v>
      </c>
      <c r="C39" t="s">
        <v>5</v>
      </c>
    </row>
    <row r="41" spans="2:10" x14ac:dyDescent="0.35">
      <c r="B41" s="2" t="s">
        <v>18</v>
      </c>
      <c r="C41" t="s">
        <v>4</v>
      </c>
    </row>
    <row r="42" spans="2:10" x14ac:dyDescent="0.35">
      <c r="B42" s="2"/>
      <c r="C42" t="s">
        <v>56</v>
      </c>
    </row>
    <row r="43" spans="2:10" x14ac:dyDescent="0.35">
      <c r="C43" t="s">
        <v>23</v>
      </c>
    </row>
    <row r="44" spans="2:10" x14ac:dyDescent="0.35">
      <c r="C44" t="s">
        <v>97</v>
      </c>
    </row>
    <row r="45" spans="2:10" x14ac:dyDescent="0.35">
      <c r="C45" t="s">
        <v>21</v>
      </c>
    </row>
    <row r="46" spans="2:10" x14ac:dyDescent="0.35">
      <c r="C46" t="s">
        <v>98</v>
      </c>
    </row>
    <row r="47" spans="2:10" x14ac:dyDescent="0.35">
      <c r="C47" t="s">
        <v>22</v>
      </c>
    </row>
  </sheetData>
  <mergeCells count="2">
    <mergeCell ref="D2:D3"/>
    <mergeCell ref="B31:B37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5D5-CD42-40C0-9A9D-DE1896072916}">
  <dimension ref="A1:D13"/>
  <sheetViews>
    <sheetView zoomScale="140" zoomScaleNormal="140" workbookViewId="0">
      <selection activeCell="D2" sqref="D2"/>
    </sheetView>
  </sheetViews>
  <sheetFormatPr baseColWidth="10" defaultRowHeight="14.5" x14ac:dyDescent="0.35"/>
  <cols>
    <col min="1" max="2" width="19.54296875" customWidth="1"/>
    <col min="3" max="3" width="15.54296875" customWidth="1"/>
    <col min="4" max="4" width="12" bestFit="1" customWidth="1"/>
  </cols>
  <sheetData>
    <row r="1" spans="1:4" x14ac:dyDescent="0.35">
      <c r="A1" s="2" t="s">
        <v>42</v>
      </c>
      <c r="B1" s="2" t="s">
        <v>58</v>
      </c>
      <c r="C1" s="2" t="s">
        <v>82</v>
      </c>
    </row>
    <row r="2" spans="1:4" x14ac:dyDescent="0.35">
      <c r="A2" t="s">
        <v>96</v>
      </c>
      <c r="B2" s="38">
        <v>55.555599999999998</v>
      </c>
      <c r="C2" s="39">
        <v>55.555599999999998</v>
      </c>
      <c r="D2" s="20"/>
    </row>
    <row r="3" spans="1:4" x14ac:dyDescent="0.35">
      <c r="A3" t="s">
        <v>4</v>
      </c>
      <c r="B3" s="38">
        <v>1E-8</v>
      </c>
      <c r="C3" s="39">
        <v>9.9999999999999995E-8</v>
      </c>
      <c r="D3" s="20"/>
    </row>
    <row r="4" spans="1:4" x14ac:dyDescent="0.35">
      <c r="A4" t="s">
        <v>56</v>
      </c>
      <c r="B4" s="38">
        <v>1E-3</v>
      </c>
      <c r="C4" s="40">
        <v>9.9999999999999998E-17</v>
      </c>
    </row>
    <row r="5" spans="1:4" x14ac:dyDescent="0.35">
      <c r="A5" t="s">
        <v>23</v>
      </c>
      <c r="B5" s="38">
        <v>1E-3</v>
      </c>
      <c r="C5" s="40">
        <v>1.0000000000000001E-5</v>
      </c>
    </row>
    <row r="6" spans="1:4" x14ac:dyDescent="0.35">
      <c r="A6" t="s">
        <v>97</v>
      </c>
      <c r="B6" s="38">
        <v>9.9999999999999998E-17</v>
      </c>
      <c r="C6" s="39">
        <v>9.9999999999999998E-17</v>
      </c>
    </row>
    <row r="7" spans="1:4" x14ac:dyDescent="0.35">
      <c r="A7" t="s">
        <v>21</v>
      </c>
      <c r="B7" s="38">
        <v>2E-3</v>
      </c>
      <c r="C7" s="39">
        <v>1.0000000000000001E-5</v>
      </c>
    </row>
    <row r="8" spans="1:4" x14ac:dyDescent="0.35">
      <c r="A8" t="s">
        <v>98</v>
      </c>
      <c r="B8" s="38">
        <v>5.3761100000000001E-4</v>
      </c>
      <c r="C8" s="39">
        <v>1E-3</v>
      </c>
    </row>
    <row r="9" spans="1:4" x14ac:dyDescent="0.35">
      <c r="A9" t="s">
        <v>22</v>
      </c>
      <c r="B9" s="38">
        <v>2.52947E-4</v>
      </c>
      <c r="C9" s="39">
        <v>9.9999999999999995E-7</v>
      </c>
    </row>
    <row r="10" spans="1:4" x14ac:dyDescent="0.35">
      <c r="A10" t="s">
        <v>5</v>
      </c>
      <c r="B10" s="38">
        <v>2.52155E-6</v>
      </c>
      <c r="C10" s="39">
        <v>4.6902899999999998E-7</v>
      </c>
    </row>
    <row r="11" spans="1:4" x14ac:dyDescent="0.35">
      <c r="A11" s="2" t="s">
        <v>83</v>
      </c>
    </row>
    <row r="12" spans="1:4" x14ac:dyDescent="0.35">
      <c r="A12" t="s">
        <v>35</v>
      </c>
      <c r="B12">
        <f>ABS(1-B3*B8/(chem!$C$14*chem!$H$20))</f>
        <v>2.3449161434818677E-7</v>
      </c>
    </row>
    <row r="13" spans="1:4" x14ac:dyDescent="0.35">
      <c r="A13" t="s">
        <v>24</v>
      </c>
      <c r="B13">
        <f>ABS(1-B9/(chem!$C$15*chem!$H$21))</f>
        <v>1.0654166401335985E-6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2B3F-D4BB-46F3-A363-F13FE4905870}">
  <dimension ref="A1:AF94"/>
  <sheetViews>
    <sheetView tabSelected="1" zoomScaleNormal="100" workbookViewId="0">
      <selection activeCell="C18" sqref="C18"/>
    </sheetView>
  </sheetViews>
  <sheetFormatPr baseColWidth="10" defaultRowHeight="14.5" x14ac:dyDescent="0.35"/>
  <cols>
    <col min="1" max="1" width="15.26953125" customWidth="1"/>
    <col min="2" max="2" width="13.7265625" customWidth="1"/>
    <col min="3" max="3" width="16" customWidth="1"/>
    <col min="4" max="5" width="14" customWidth="1"/>
    <col min="6" max="6" width="14.08984375" customWidth="1"/>
    <col min="7" max="7" width="13.81640625" customWidth="1"/>
    <col min="8" max="8" width="14.08984375" customWidth="1"/>
    <col min="9" max="9" width="14.81640625" customWidth="1"/>
    <col min="10" max="10" width="15" customWidth="1"/>
    <col min="11" max="11" width="14" customWidth="1"/>
    <col min="12" max="12" width="14" style="26" customWidth="1"/>
    <col min="13" max="13" width="15.7265625" customWidth="1"/>
    <col min="14" max="14" width="18" customWidth="1"/>
    <col min="15" max="17" width="14.08984375" customWidth="1"/>
    <col min="18" max="20" width="15.26953125" customWidth="1"/>
    <col min="21" max="21" width="13.08984375" customWidth="1"/>
    <col min="22" max="22" width="13.81640625" customWidth="1"/>
  </cols>
  <sheetData>
    <row r="1" spans="1:32" x14ac:dyDescent="0.35">
      <c r="A1" s="2" t="s">
        <v>81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32" x14ac:dyDescent="0.35">
      <c r="A2" s="2" t="s">
        <v>3</v>
      </c>
      <c r="B2">
        <f>transport!$B$1*(B$1-0.5)</f>
        <v>0.05</v>
      </c>
      <c r="C2">
        <f>transport!$B$1*(C$1-0.5)</f>
        <v>0.15000000000000002</v>
      </c>
      <c r="D2">
        <f>transport!$B$1*(D$1-0.5)</f>
        <v>0.25</v>
      </c>
      <c r="E2">
        <f>transport!$B$1*(E$1-0.5)</f>
        <v>0.35000000000000003</v>
      </c>
      <c r="F2">
        <f>transport!$B$1*(F$1-0.5)</f>
        <v>0.45</v>
      </c>
      <c r="G2">
        <f>transport!$B$1*(G$1-0.5)</f>
        <v>0.55000000000000004</v>
      </c>
      <c r="H2">
        <f>transport!$B$1*(H$1-0.5)</f>
        <v>0.65</v>
      </c>
      <c r="I2">
        <f>transport!$B$1*(I$1-0.5)</f>
        <v>0.75</v>
      </c>
      <c r="J2">
        <f>transport!$B$1*(J$1-0.5)</f>
        <v>0.85000000000000009</v>
      </c>
      <c r="K2">
        <f>transport!$B$1*(K$1-0.5)</f>
        <v>0.95000000000000007</v>
      </c>
    </row>
    <row r="4" spans="1:32" x14ac:dyDescent="0.35">
      <c r="L4" s="30"/>
    </row>
    <row r="5" spans="1:32" s="18" customFormat="1" x14ac:dyDescent="0.35">
      <c r="A5" s="16" t="s">
        <v>42</v>
      </c>
      <c r="B5" s="63" t="s">
        <v>7</v>
      </c>
      <c r="C5" s="63"/>
      <c r="D5" s="63"/>
      <c r="E5" s="63"/>
      <c r="F5" s="63"/>
      <c r="G5" s="63"/>
      <c r="H5" s="63"/>
      <c r="I5" s="63"/>
      <c r="J5" s="63"/>
      <c r="K5" s="63"/>
      <c r="L5" s="28"/>
      <c r="M5" s="17"/>
      <c r="N5" s="17"/>
      <c r="O5" s="17"/>
      <c r="P5" s="17"/>
      <c r="Q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32" x14ac:dyDescent="0.35">
      <c r="A6" t="str">
        <f>'wat types'!$A$2</f>
        <v xml:space="preserve">h2o(p)         </v>
      </c>
      <c r="B6" s="15">
        <v>55.555599999999998</v>
      </c>
      <c r="C6" s="15">
        <v>55.555599999999998</v>
      </c>
      <c r="D6" s="15">
        <v>55.555599999999998</v>
      </c>
      <c r="E6" s="15">
        <v>55.555599999999998</v>
      </c>
      <c r="F6" s="15">
        <v>55.555599999999998</v>
      </c>
      <c r="G6" s="15">
        <v>55.555599999999998</v>
      </c>
      <c r="H6" s="15">
        <v>55.555599999999998</v>
      </c>
      <c r="I6" s="15">
        <v>55.555599999999998</v>
      </c>
      <c r="J6" s="15">
        <v>55.555599999999998</v>
      </c>
      <c r="K6" s="15">
        <v>55.555599999999998</v>
      </c>
      <c r="L6" s="24"/>
      <c r="M6" s="20"/>
      <c r="N6" s="20"/>
      <c r="O6" s="20"/>
      <c r="P6" s="20"/>
      <c r="Q6" s="20"/>
      <c r="R6" s="20"/>
      <c r="S6" s="20"/>
      <c r="T6" s="20"/>
      <c r="U6" s="20"/>
      <c r="V6" s="20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t="str">
        <f>'wat types'!$A$3</f>
        <v>h+</v>
      </c>
      <c r="B7" s="15">
        <v>9.9999999999999995E-8</v>
      </c>
      <c r="C7" s="15">
        <v>9.9999999999999995E-8</v>
      </c>
      <c r="D7" s="15">
        <v>9.9999999999999995E-8</v>
      </c>
      <c r="E7" s="15">
        <v>9.9999999999999995E-8</v>
      </c>
      <c r="F7" s="15">
        <v>9.9999999999999995E-8</v>
      </c>
      <c r="G7" s="15">
        <v>9.9999999999999995E-8</v>
      </c>
      <c r="H7" s="15">
        <v>9.9999999999999995E-8</v>
      </c>
      <c r="I7" s="15">
        <v>9.9999999999999995E-8</v>
      </c>
      <c r="J7" s="15">
        <v>9.9999999999999995E-8</v>
      </c>
      <c r="K7" s="15">
        <v>9.9999999999999995E-8</v>
      </c>
      <c r="L7" s="24"/>
      <c r="M7" s="20"/>
      <c r="N7" s="20"/>
      <c r="O7" s="20"/>
      <c r="P7" s="20"/>
      <c r="Q7" s="20"/>
      <c r="R7" s="20"/>
      <c r="S7" s="20"/>
      <c r="T7" s="20"/>
      <c r="U7" s="20"/>
      <c r="V7" s="20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t="str">
        <f>'wat types'!$A$4</f>
        <v>cl-</v>
      </c>
      <c r="B8" s="15">
        <v>9.9999999999999998E-17</v>
      </c>
      <c r="C8" s="15">
        <v>9.9999999999999998E-17</v>
      </c>
      <c r="D8" s="15">
        <v>9.9999999999999998E-17</v>
      </c>
      <c r="E8" s="15">
        <v>9.9999999999999998E-17</v>
      </c>
      <c r="F8" s="15">
        <v>9.9999999999999998E-17</v>
      </c>
      <c r="G8" s="15">
        <v>9.9999999999999998E-17</v>
      </c>
      <c r="H8" s="15">
        <v>9.9999999999999998E-17</v>
      </c>
      <c r="I8" s="15">
        <v>9.9999999999999998E-17</v>
      </c>
      <c r="J8" s="15">
        <v>9.9999999999999998E-17</v>
      </c>
      <c r="K8" s="15">
        <v>9.9999999999999998E-17</v>
      </c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5">
      <c r="A9" t="str">
        <f>'wat types'!$A$5</f>
        <v>no3-</v>
      </c>
      <c r="B9" s="15">
        <v>1.0000000000000001E-5</v>
      </c>
      <c r="C9" s="15">
        <v>1.0000000000000001E-5</v>
      </c>
      <c r="D9" s="15">
        <v>1.0000000000000001E-5</v>
      </c>
      <c r="E9" s="15">
        <v>1.0000000000000001E-5</v>
      </c>
      <c r="F9" s="15">
        <v>1.0000000000000001E-5</v>
      </c>
      <c r="G9" s="15">
        <v>1.0000000000000001E-5</v>
      </c>
      <c r="H9" s="15">
        <v>1.0000000000000001E-5</v>
      </c>
      <c r="I9" s="15">
        <v>1.0000000000000001E-5</v>
      </c>
      <c r="J9" s="15">
        <v>1.0000000000000001E-5</v>
      </c>
      <c r="K9" s="15">
        <v>1.0000000000000001E-5</v>
      </c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t="str">
        <f>'wat types'!$A$6</f>
        <v>n2(aq)(p)</v>
      </c>
      <c r="B10" s="15">
        <v>9.9999999999999998E-17</v>
      </c>
      <c r="C10" s="15">
        <v>9.9999999999999998E-17</v>
      </c>
      <c r="D10" s="15">
        <v>9.9999999999999998E-17</v>
      </c>
      <c r="E10" s="15">
        <v>9.9999999999999998E-17</v>
      </c>
      <c r="F10" s="15">
        <v>9.9999999999999998E-17</v>
      </c>
      <c r="G10" s="15">
        <v>9.9999999999999998E-17</v>
      </c>
      <c r="H10" s="15">
        <v>9.9999999999999998E-17</v>
      </c>
      <c r="I10" s="15">
        <v>9.9999999999999998E-17</v>
      </c>
      <c r="J10" s="15">
        <v>9.9999999999999998E-17</v>
      </c>
      <c r="K10" s="15">
        <v>9.9999999999999998E-17</v>
      </c>
      <c r="L10" s="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t="str">
        <f>'wat types'!$A$7</f>
        <v>ch2o(aq)</v>
      </c>
      <c r="B11" s="15">
        <v>1.0000000000000001E-5</v>
      </c>
      <c r="C11" s="15">
        <v>1.0000000000000001E-5</v>
      </c>
      <c r="D11" s="15">
        <v>1.0000000000000001E-5</v>
      </c>
      <c r="E11" s="15">
        <v>1.0000000000000001E-5</v>
      </c>
      <c r="F11" s="15">
        <v>1.0000000000000001E-5</v>
      </c>
      <c r="G11" s="15">
        <v>1.0000000000000001E-5</v>
      </c>
      <c r="H11" s="15">
        <v>1.0000000000000001E-5</v>
      </c>
      <c r="I11" s="15">
        <v>1.0000000000000001E-5</v>
      </c>
      <c r="J11" s="15">
        <v>1.0000000000000001E-5</v>
      </c>
      <c r="K11" s="15">
        <v>1.0000000000000001E-5</v>
      </c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t="str">
        <f>'wat types'!$A$8</f>
        <v>hco3-</v>
      </c>
      <c r="B12" s="15">
        <v>1E-3</v>
      </c>
      <c r="C12" s="15">
        <v>1E-3</v>
      </c>
      <c r="D12" s="15">
        <v>1E-3</v>
      </c>
      <c r="E12" s="15">
        <v>1E-3</v>
      </c>
      <c r="F12" s="15">
        <v>1E-3</v>
      </c>
      <c r="G12" s="15">
        <v>1E-3</v>
      </c>
      <c r="H12" s="15">
        <v>1E-3</v>
      </c>
      <c r="I12" s="15">
        <v>1E-3</v>
      </c>
      <c r="J12" s="15">
        <v>1E-3</v>
      </c>
      <c r="K12" s="15">
        <v>1E-3</v>
      </c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t="str">
        <f>'wat types'!$A$9</f>
        <v>o2(aq)</v>
      </c>
      <c r="B13" s="15">
        <v>9.9999999999999995E-7</v>
      </c>
      <c r="C13" s="15">
        <v>9.9999999999999995E-7</v>
      </c>
      <c r="D13" s="15">
        <v>9.9999999999999995E-7</v>
      </c>
      <c r="E13" s="15">
        <v>9.9999999999999995E-7</v>
      </c>
      <c r="F13" s="15">
        <v>9.9999999999999995E-7</v>
      </c>
      <c r="G13" s="15">
        <v>9.9999999999999995E-7</v>
      </c>
      <c r="H13" s="15">
        <v>9.9999999999999995E-7</v>
      </c>
      <c r="I13" s="15">
        <v>9.9999999999999995E-7</v>
      </c>
      <c r="J13" s="15">
        <v>9.9999999999999995E-7</v>
      </c>
      <c r="K13" s="15">
        <v>9.9999999999999995E-7</v>
      </c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t="str">
        <f>'wat types'!$A$10</f>
        <v>co3-2</v>
      </c>
      <c r="B14" s="15">
        <v>4.6902899999999998E-7</v>
      </c>
      <c r="C14" s="15">
        <v>4.6902899999999998E-7</v>
      </c>
      <c r="D14" s="15">
        <v>4.6902899999999998E-7</v>
      </c>
      <c r="E14" s="15">
        <v>4.6902899999999998E-7</v>
      </c>
      <c r="F14" s="15">
        <v>4.6902899999999998E-7</v>
      </c>
      <c r="G14" s="15">
        <v>4.6902899999999998E-7</v>
      </c>
      <c r="H14" s="15">
        <v>4.6902899999999998E-7</v>
      </c>
      <c r="I14" s="15">
        <v>4.6902899999999998E-7</v>
      </c>
      <c r="J14" s="15">
        <v>4.6902899999999998E-7</v>
      </c>
      <c r="K14" s="15">
        <v>4.6902899999999998E-7</v>
      </c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2" t="s">
        <v>43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35">
      <c r="A16" s="2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35">
      <c r="A17" s="2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2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x14ac:dyDescent="0.35">
      <c r="A18" s="2"/>
      <c r="B18" s="15"/>
      <c r="C18" s="64"/>
      <c r="D18" s="15"/>
      <c r="E18" s="15"/>
      <c r="F18" s="15"/>
      <c r="G18" s="15"/>
      <c r="H18" s="15"/>
      <c r="I18" s="15"/>
      <c r="J18" s="15"/>
      <c r="K18" s="15"/>
      <c r="L18" s="2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35">
      <c r="A19" t="s">
        <v>36</v>
      </c>
      <c r="B19" s="15">
        <v>0.5</v>
      </c>
      <c r="C19" s="15">
        <v>0.5</v>
      </c>
      <c r="D19" s="15">
        <v>0.5</v>
      </c>
      <c r="E19" s="15">
        <v>0.5</v>
      </c>
      <c r="F19" s="15">
        <v>0.5</v>
      </c>
      <c r="G19" s="15">
        <v>0.5</v>
      </c>
      <c r="H19" s="15">
        <v>0.5</v>
      </c>
      <c r="I19" s="15">
        <v>0.5</v>
      </c>
      <c r="J19" s="15">
        <v>0.5</v>
      </c>
      <c r="K19" s="15">
        <v>0.5</v>
      </c>
      <c r="L19" s="2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s="18" customFormat="1" x14ac:dyDescent="0.35">
      <c r="A20" s="16" t="s">
        <v>42</v>
      </c>
      <c r="B20" s="63" t="s">
        <v>71</v>
      </c>
      <c r="C20" s="63"/>
      <c r="D20" s="63"/>
      <c r="E20" s="63"/>
      <c r="F20" s="63"/>
      <c r="G20" s="63"/>
      <c r="H20" s="63"/>
      <c r="I20" s="63"/>
      <c r="J20" s="63"/>
      <c r="K20" s="63"/>
      <c r="L20" s="28" t="s">
        <v>66</v>
      </c>
      <c r="M20" s="17"/>
      <c r="N20" s="17"/>
      <c r="O20" s="17"/>
      <c r="P20" s="17"/>
      <c r="Q20" s="17"/>
      <c r="S20" s="17"/>
      <c r="T20" s="17"/>
      <c r="U20" s="17"/>
      <c r="V20" s="17"/>
    </row>
    <row r="21" spans="1:32" x14ac:dyDescent="0.35">
      <c r="A21" t="str">
        <f>'wat types'!$A$2</f>
        <v xml:space="preserve">h2o(p)         </v>
      </c>
      <c r="B21" s="15">
        <v>55.555599999999998</v>
      </c>
      <c r="C21" s="15">
        <v>55.555599999999998</v>
      </c>
      <c r="D21" s="15">
        <v>55.555599999999998</v>
      </c>
      <c r="E21" s="15">
        <v>55.555599999999998</v>
      </c>
      <c r="F21" s="15">
        <v>55.555599999999998</v>
      </c>
      <c r="G21" s="15">
        <v>55.555599999999998</v>
      </c>
      <c r="H21" s="15">
        <v>55.555599999999998</v>
      </c>
      <c r="I21" s="15">
        <v>55.555599999999998</v>
      </c>
      <c r="J21" s="15">
        <v>55.555599999999998</v>
      </c>
      <c r="K21" s="15">
        <v>55.555599999999998</v>
      </c>
      <c r="L21" s="24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35">
      <c r="A22" t="str">
        <f>'wat types'!$A$3</f>
        <v>h+</v>
      </c>
      <c r="B22" s="27">
        <v>8.7593200000000007E-6</v>
      </c>
      <c r="C22" s="27">
        <v>2.4122E-6</v>
      </c>
      <c r="D22" s="27">
        <v>9.8684499999999999E-7</v>
      </c>
      <c r="E22" s="27">
        <v>6.6690000000000002E-7</v>
      </c>
      <c r="F22" s="27">
        <v>5.9283899999999998E-7</v>
      </c>
      <c r="G22" s="27">
        <v>5.7501200000000001E-7</v>
      </c>
      <c r="H22" s="27">
        <v>5.7065200000000005E-7</v>
      </c>
      <c r="I22" s="27">
        <v>5.6958E-7</v>
      </c>
      <c r="J22" s="27">
        <v>5.6931700000000004E-7</v>
      </c>
      <c r="K22" s="27">
        <v>5.6925600000000005E-7</v>
      </c>
      <c r="L22" s="43"/>
      <c r="M22" s="39"/>
      <c r="N22" s="39"/>
      <c r="O22" s="39"/>
      <c r="P22" s="39"/>
      <c r="Q22" s="39"/>
      <c r="R22" s="39"/>
      <c r="S22" s="20"/>
      <c r="T22" s="20"/>
      <c r="U22" s="20"/>
      <c r="V22" s="20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35">
      <c r="A23" t="str">
        <f>'wat types'!$A$4</f>
        <v>cl-</v>
      </c>
      <c r="B23" s="15">
        <v>3.0155099999999999E-5</v>
      </c>
      <c r="C23" s="15">
        <v>7.4218300000000002E-6</v>
      </c>
      <c r="D23" s="15">
        <v>1.82667E-6</v>
      </c>
      <c r="E23" s="15">
        <v>4.4958300000000001E-7</v>
      </c>
      <c r="F23" s="15">
        <v>1.10652E-7</v>
      </c>
      <c r="G23" s="15">
        <v>2.7233899999999999E-8</v>
      </c>
      <c r="H23" s="15">
        <v>6.7030900000000003E-9</v>
      </c>
      <c r="I23" s="15">
        <v>1.65079E-9</v>
      </c>
      <c r="J23" s="15">
        <v>4.1083699999999997E-10</v>
      </c>
      <c r="K23" s="15">
        <v>1.2151499999999999E-10</v>
      </c>
      <c r="L23" s="43">
        <f>ABS(B23-SUMPRODUCT($B$8:$K$8,lambdas!$D$2:$M$2)-'wat types'!$B$4*lambdas!$C$2)</f>
        <v>3.74892099853333E-11</v>
      </c>
      <c r="M23" s="39">
        <f>ABS(C23-SUMPRODUCT($B$8:$K$8,lambdas!$D$3:$M$3)-'wat types'!$B$4*lambdas!$C$3)</f>
        <v>4.353204918460256E-13</v>
      </c>
      <c r="N23" s="39">
        <f>ABS(D23-SUMPRODUCT($B$8:$K$8,lambdas!$D$4:$M$4)-'wat types'!$B$4*lambdas!$C$4)</f>
        <v>2.2917234473982559E-12</v>
      </c>
      <c r="O23" s="39">
        <f>ABS(E23-SUMPRODUCT($B$8:$K$8,lambdas!$D$5:$M$5)-'wat types'!$B$4*lambdas!$C$5)</f>
        <v>4.4167585400583883E-13</v>
      </c>
      <c r="P23" s="39">
        <f>ABS(F23-SUMPRODUCT($B$8:$K$8,lambdas!$D$6:$M$6)-'wat types'!$B$4*lambdas!$C$6)</f>
        <v>1.9050707193383947E-13</v>
      </c>
      <c r="Q23" s="39">
        <f>ABS(G23-SUMPRODUCT($B$8:$K$8,lambdas!$D$7:$M$7)-'wat types'!$B$4*lambdas!$C$7)</f>
        <v>4.0286501776862738E-14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35">
      <c r="A24" t="str">
        <f>'wat types'!$A$5</f>
        <v>no3-</v>
      </c>
      <c r="B24" s="15">
        <v>3.6190099999999998E-5</v>
      </c>
      <c r="C24" s="15">
        <v>1.6682500000000002E-5</v>
      </c>
      <c r="D24" s="15">
        <v>1.1544300000000001E-5</v>
      </c>
      <c r="E24" s="15">
        <v>1.0254900000000001E-5</v>
      </c>
      <c r="F24" s="15">
        <v>9.9359400000000003E-6</v>
      </c>
      <c r="G24" s="15">
        <v>9.8573400000000007E-6</v>
      </c>
      <c r="H24" s="15">
        <v>9.8379900000000007E-6</v>
      </c>
      <c r="I24" s="15">
        <v>9.8332299999999997E-6</v>
      </c>
      <c r="J24" s="15">
        <v>9.8320599999999992E-6</v>
      </c>
      <c r="K24" s="15">
        <v>9.8317900000000006E-6</v>
      </c>
      <c r="L24" s="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35">
      <c r="A25" t="str">
        <f>'wat types'!$A$6</f>
        <v>n2(aq)(p)</v>
      </c>
      <c r="B25" s="15">
        <v>1.83174E-6</v>
      </c>
      <c r="C25" s="15">
        <v>3.3253399999999998E-7</v>
      </c>
      <c r="D25" s="15">
        <v>1.3204999999999999E-7</v>
      </c>
      <c r="E25" s="15">
        <v>9.5107099999999998E-8</v>
      </c>
      <c r="F25" s="15">
        <v>8.6804699999999999E-8</v>
      </c>
      <c r="G25" s="15">
        <v>8.48097E-8</v>
      </c>
      <c r="H25" s="15">
        <v>8.4321599999999997E-8</v>
      </c>
      <c r="I25" s="15">
        <v>8.4201699999999999E-8</v>
      </c>
      <c r="J25" s="15">
        <v>8.4172299999999997E-8</v>
      </c>
      <c r="K25" s="15">
        <v>8.4165399999999995E-8</v>
      </c>
      <c r="L25" s="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35">
      <c r="A26" t="str">
        <f>'wat types'!$A$7</f>
        <v>ch2o(aq)</v>
      </c>
      <c r="B26" s="15">
        <v>5.7157600000000003E-5</v>
      </c>
      <c r="C26" s="15">
        <v>2.13267E-5</v>
      </c>
      <c r="D26" s="15">
        <v>1.20588E-5</v>
      </c>
      <c r="E26" s="15">
        <v>9.7379899999999999E-6</v>
      </c>
      <c r="F26" s="15">
        <v>9.1637100000000007E-6</v>
      </c>
      <c r="G26" s="15">
        <v>9.0221600000000004E-6</v>
      </c>
      <c r="H26" s="15">
        <v>8.9873100000000002E-6</v>
      </c>
      <c r="I26" s="15">
        <v>8.9787299999999997E-6</v>
      </c>
      <c r="J26" s="15">
        <v>8.9766300000000001E-6</v>
      </c>
      <c r="K26" s="15">
        <v>8.9761399999999997E-6</v>
      </c>
      <c r="L26" s="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35">
      <c r="A27" t="str">
        <f>'wat types'!$A$8</f>
        <v>hco3-</v>
      </c>
      <c r="B27" s="15">
        <v>9.9943300000000009E-4</v>
      </c>
      <c r="C27" s="15">
        <v>1.00048E-3</v>
      </c>
      <c r="D27" s="15">
        <v>1.0011600000000001E-3</v>
      </c>
      <c r="E27" s="15">
        <v>1.00135E-3</v>
      </c>
      <c r="F27" s="15">
        <v>1.0013999999999999E-3</v>
      </c>
      <c r="G27" s="15">
        <v>1.0014100000000001E-3</v>
      </c>
      <c r="H27" s="15">
        <v>1.0014100000000001E-3</v>
      </c>
      <c r="I27" s="15">
        <v>1.0014100000000001E-3</v>
      </c>
      <c r="J27" s="15">
        <v>1.0014100000000001E-3</v>
      </c>
      <c r="K27" s="15">
        <v>1.0014100000000001E-3</v>
      </c>
      <c r="L27" s="24"/>
    </row>
    <row r="28" spans="1:32" x14ac:dyDescent="0.35">
      <c r="A28" t="str">
        <f>'wat types'!$A$9</f>
        <v>o2(aq)</v>
      </c>
      <c r="B28" s="15">
        <v>3.2577100000000001E-7</v>
      </c>
      <c r="C28" s="15">
        <v>2.5850300000000002E-7</v>
      </c>
      <c r="D28" s="15">
        <v>2.1404500000000001E-7</v>
      </c>
      <c r="E28" s="15">
        <v>1.94357E-7</v>
      </c>
      <c r="F28" s="15">
        <v>1.8840099999999999E-7</v>
      </c>
      <c r="G28" s="15">
        <v>1.8685000000000001E-7</v>
      </c>
      <c r="H28" s="15">
        <v>1.8646199999999999E-7</v>
      </c>
      <c r="I28" s="15">
        <v>1.8636599999999999E-7</v>
      </c>
      <c r="J28" s="15">
        <v>1.8634299999999999E-7</v>
      </c>
      <c r="K28" s="15">
        <v>1.8633700000000001E-7</v>
      </c>
      <c r="L28" s="2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35">
      <c r="A29" t="str">
        <f>'wat types'!$A$10</f>
        <v>co3-2</v>
      </c>
      <c r="B29" s="15">
        <v>5.3515999999999996E-9</v>
      </c>
      <c r="C29" s="15">
        <v>1.9453299999999999E-8</v>
      </c>
      <c r="D29" s="15">
        <v>4.7583100000000002E-8</v>
      </c>
      <c r="E29" s="15">
        <v>7.0424600000000002E-8</v>
      </c>
      <c r="F29" s="15">
        <v>7.9226100000000003E-8</v>
      </c>
      <c r="G29" s="15">
        <v>8.1683299999999994E-8</v>
      </c>
      <c r="H29" s="15">
        <v>8.2307800000000001E-8</v>
      </c>
      <c r="I29" s="15">
        <v>8.2462699999999999E-8</v>
      </c>
      <c r="J29" s="15">
        <v>8.2500700000000002E-8</v>
      </c>
      <c r="K29" s="15">
        <v>8.2509599999999994E-8</v>
      </c>
      <c r="L29" s="2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35">
      <c r="A30" s="2" t="s">
        <v>26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35">
      <c r="A31" t="s">
        <v>27</v>
      </c>
      <c r="B31" s="15">
        <v>-5.4191299999999997E-5</v>
      </c>
      <c r="C31" s="15">
        <v>-4.6828500000000001E-5</v>
      </c>
      <c r="D31" s="15">
        <v>-4.25974E-5</v>
      </c>
      <c r="E31" s="15">
        <v>-3.99707E-5</v>
      </c>
      <c r="F31" s="15">
        <v>-3.9007300000000002E-5</v>
      </c>
      <c r="G31" s="15">
        <v>-3.8741200000000001E-5</v>
      </c>
      <c r="H31" s="15">
        <v>-3.8673800000000002E-5</v>
      </c>
      <c r="I31" s="15">
        <v>-3.86571E-5</v>
      </c>
      <c r="J31" s="15">
        <v>-3.8652999999999997E-5</v>
      </c>
      <c r="K31" s="32">
        <v>-3.8652000000000002E-5</v>
      </c>
      <c r="L31" s="20">
        <f>ABS(1-B22*B29/(B27*chem!$L$29))</f>
        <v>8.1137579766021872E-7</v>
      </c>
      <c r="M31" s="20">
        <f>ABS(1-C22*C29/(C27*chem!$L$29))</f>
        <v>4.1765901642731862E-6</v>
      </c>
      <c r="N31" s="20">
        <f>ABS(1-D22*D29/(D27*chem!$L$29))</f>
        <v>4.1723655522796221E-6</v>
      </c>
      <c r="O31" s="20">
        <f>ABS(1-E22*E29/(E27*chem!$L$29))</f>
        <v>1.8323780431872549E-6</v>
      </c>
      <c r="P31" s="20">
        <f>ABS(1-F22*F29/(F27*chem!$L$29))</f>
        <v>5.8560120693718076E-6</v>
      </c>
      <c r="Q31" s="20">
        <f>ABS(1-G22*G29/(G27*chem!$L$29))</f>
        <v>4.0085169910053509E-6</v>
      </c>
      <c r="R31" s="20">
        <f>ABS(1-H22*H29/(H27*chem!$L$29))</f>
        <v>9.518967445387716E-7</v>
      </c>
      <c r="S31" s="20">
        <f>ABS(1-I22*I29/(I27*chem!$L$29))</f>
        <v>8.2373579690653287E-7</v>
      </c>
      <c r="T31" s="20">
        <f>ABS(1-J22*J29/(J27*chem!$L$29))</f>
        <v>3.1837973979431666E-7</v>
      </c>
      <c r="U31" s="20">
        <f>ABS(1-K22*K29/(K27*chem!$L$29))</f>
        <v>4.0200290540859385E-7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35">
      <c r="A32" s="2" t="s">
        <v>25</v>
      </c>
      <c r="B32" s="15"/>
      <c r="C32" s="15"/>
      <c r="D32" s="15"/>
      <c r="E32" s="15"/>
      <c r="F32" s="15"/>
      <c r="G32" s="15"/>
      <c r="H32" s="15"/>
      <c r="I32" s="15"/>
      <c r="J32" s="15"/>
      <c r="K32" s="32"/>
      <c r="L32" s="3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35">
      <c r="A33" t="s">
        <v>28</v>
      </c>
      <c r="B33" s="15">
        <v>8.5289199999999995E-4</v>
      </c>
      <c r="C33" s="15">
        <v>2.63093E-4</v>
      </c>
      <c r="D33" s="15">
        <v>1.2484599999999999E-4</v>
      </c>
      <c r="E33" s="15">
        <v>9.1932800000000002E-5</v>
      </c>
      <c r="F33" s="15">
        <v>8.3956999999999996E-5</v>
      </c>
      <c r="G33" s="15">
        <v>8.2003399999999995E-5</v>
      </c>
      <c r="H33" s="15">
        <v>8.1523199999999999E-5</v>
      </c>
      <c r="I33" s="15">
        <v>8.1405100000000004E-5</v>
      </c>
      <c r="J33" s="15">
        <v>8.1376099999999995E-5</v>
      </c>
      <c r="K33" s="32">
        <v>8.1369299999999994E-5</v>
      </c>
      <c r="L33" s="27">
        <f>ABS(B33-chem!$E$5*B26*B28/((chem!$G$5+B26)*(chem!$I$5+B28)))</f>
        <v>2.823541321540432E-10</v>
      </c>
      <c r="M33" s="27">
        <f>ABS(C33-chem!$E$5*C26*C28/((chem!$G$5+C26)*(chem!$I$5+C28)))</f>
        <v>7.773522858398052E-10</v>
      </c>
      <c r="N33" s="27">
        <f>ABS(D33-chem!$E$5*D26*D28/((chem!$G$5+D26)*(chem!$I$5+D28)))</f>
        <v>2.987501848011366E-10</v>
      </c>
      <c r="O33" s="27">
        <f>ABS(E33-chem!$E$5*E26*E28/((chem!$G$5+E26)*(chem!$I$5+E28)))</f>
        <v>1.0441802453340244E-10</v>
      </c>
      <c r="P33" s="27">
        <f>ABS(F33-chem!$E$5*F26*F28/((chem!$G$5+F26)*(chem!$I$5+F28)))</f>
        <v>4.1479248014857431E-12</v>
      </c>
      <c r="Q33" s="27">
        <f>ABS(G33-chem!$E$5*G26*G28/((chem!$G$5+G26)*(chem!$I$5+G28)))</f>
        <v>2.1833339524073968E-10</v>
      </c>
      <c r="R33" s="27">
        <f>ABS(H33-chem!$E$5*H26*H28/((chem!$G$5+H26)*(chem!$I$5+H28)))</f>
        <v>4.2705166199098407E-11</v>
      </c>
      <c r="S33" s="27">
        <f>ABS(I33-chem!$E$5*I26*I28/((chem!$G$5+I26)*(chem!$I$5+I28)))</f>
        <v>2.4392388694831346E-10</v>
      </c>
      <c r="T33" s="27">
        <f>ABS(J33-chem!$E$5*J26*J28/((chem!$G$5+J26)*(chem!$I$5+J28)))</f>
        <v>2.5649251074303693E-11</v>
      </c>
      <c r="U33" s="27">
        <f>ABS(K33-chem!$E$5*K26*K28/((chem!$G$5+K26)*(chem!$I$5+K28)))</f>
        <v>1.489800107823229E-10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35">
      <c r="A34" t="s">
        <v>29</v>
      </c>
      <c r="B34" s="15">
        <v>4.7217299999999999E-4</v>
      </c>
      <c r="C34" s="15">
        <v>8.3755099999999994E-5</v>
      </c>
      <c r="D34" s="15">
        <v>3.3073E-5</v>
      </c>
      <c r="E34" s="15">
        <v>2.3787499999999999E-5</v>
      </c>
      <c r="F34" s="15">
        <v>2.17036E-5</v>
      </c>
      <c r="G34" s="15">
        <v>2.1203E-5</v>
      </c>
      <c r="H34" s="15">
        <v>2.1080499999999999E-5</v>
      </c>
      <c r="I34" s="15">
        <v>2.1050500000000001E-5</v>
      </c>
      <c r="J34" s="15">
        <v>2.1043099999999998E-5</v>
      </c>
      <c r="K34" s="33">
        <v>2.1041400000000002E-5</v>
      </c>
      <c r="L34" s="29">
        <f>ABS(B34-chem!$E$6*B26*B24*chem!$K$6/((chem!$G$6+B26)*(chem!$I$6+B24)*(chem!$K$6+results!B28)))</f>
        <v>4.3263507793628309E-11</v>
      </c>
      <c r="M34" s="29">
        <f>ABS(C34-chem!$E$6*C26*C24*chem!$K$6/((chem!$G$6+C26)*(chem!$I$6+C24)*(chem!$K$6+results!C28)))</f>
        <v>1.8781701911221253E-10</v>
      </c>
      <c r="N34" s="29">
        <f>ABS(D34-chem!$E$6*D26*D24*chem!$K$6/((chem!$G$6+D26)*(chem!$I$6+D24)*(chem!$K$6+results!D28)))</f>
        <v>8.5086172604679523E-11</v>
      </c>
      <c r="O34" s="29">
        <f>ABS(E34-chem!$E$6*E26*E24*chem!$K$6/((chem!$G$6+E26)*(chem!$I$6+E24)*(chem!$K$6+results!E28)))</f>
        <v>3.5782490353717094E-11</v>
      </c>
      <c r="P34" s="29">
        <f>ABS(F34-chem!$E$6*F26*F24*chem!$K$6/((chem!$G$6+F26)*(chem!$I$6+F24)*(chem!$K$6+results!F28)))</f>
        <v>2.5795168826875338E-11</v>
      </c>
      <c r="Q34" s="29">
        <f>ABS(G34-chem!$E$6*G26*G24*chem!$K$6/((chem!$G$6+G26)*(chem!$I$6+G24)*(chem!$K$6+results!G28)))</f>
        <v>7.4950629978408258E-12</v>
      </c>
      <c r="R34" s="29">
        <f>ABS(H34-chem!$E$6*H26*H24*chem!$K$6/((chem!$G$6+H26)*(chem!$I$6+H24)*(chem!$K$6+results!H28)))</f>
        <v>4.326351592175647E-11</v>
      </c>
      <c r="S34" s="29">
        <f>ABS(I34-chem!$E$6*I26*I24*chem!$K$6/((chem!$G$6+I26)*(chem!$I$6+I24)*(chem!$K$6+results!I28)))</f>
        <v>4.6998568811019254E-11</v>
      </c>
      <c r="T34" s="29">
        <f>ABS(J34-chem!$E$6*J26*J24*chem!$K$6/((chem!$G$6+J26)*(chem!$I$6+J24)*(chem!$K$6+results!J28)))</f>
        <v>1.9899788424488111E-11</v>
      </c>
      <c r="U34" s="29">
        <f>ABS(K34-chem!$E$6*K26*K24*chem!$K$6/((chem!$G$6+K26)*(chem!$I$6+K24)*(chem!$K$6+results!K28)))</f>
        <v>3.3145676734704348E-11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s="18" customFormat="1" x14ac:dyDescent="0.35">
      <c r="A35" s="16" t="s">
        <v>42</v>
      </c>
      <c r="B35" s="63" t="s">
        <v>108</v>
      </c>
      <c r="C35" s="63"/>
      <c r="D35" s="63"/>
      <c r="E35" s="63"/>
      <c r="F35" s="63"/>
      <c r="G35" s="63"/>
      <c r="H35" s="63"/>
      <c r="I35" s="63"/>
      <c r="J35" s="63"/>
      <c r="K35" s="63"/>
      <c r="L35" s="28" t="s">
        <v>66</v>
      </c>
      <c r="M35" s="17"/>
      <c r="N35" s="17"/>
      <c r="O35" s="17"/>
      <c r="P35" s="17"/>
      <c r="Q35" s="17"/>
      <c r="S35" s="17"/>
      <c r="T35" s="17"/>
      <c r="U35" s="17"/>
      <c r="V35" s="17"/>
    </row>
    <row r="36" spans="1:32" x14ac:dyDescent="0.35">
      <c r="A36" t="str">
        <f>'wat types'!$A$2</f>
        <v xml:space="preserve">h2o(p)         </v>
      </c>
      <c r="B36" s="15">
        <v>55.555599999999998</v>
      </c>
      <c r="C36" s="15">
        <v>55.555599999999998</v>
      </c>
      <c r="D36" s="15">
        <v>55.555599999999998</v>
      </c>
      <c r="E36" s="15">
        <v>55.555599999999998</v>
      </c>
      <c r="F36" s="15">
        <v>55.555599999999998</v>
      </c>
      <c r="G36" s="15">
        <v>55.555599999999998</v>
      </c>
      <c r="H36" s="15">
        <v>55.555599999999998</v>
      </c>
      <c r="I36" s="15">
        <v>55.555599999999998</v>
      </c>
      <c r="J36" s="15">
        <v>55.555599999999998</v>
      </c>
      <c r="K36" s="15">
        <v>55.555599999999998</v>
      </c>
      <c r="L36" s="24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35">
      <c r="A37" t="str">
        <f>'wat types'!$A$3</f>
        <v>h+</v>
      </c>
      <c r="B37" s="27">
        <v>1.6743800000000001E-5</v>
      </c>
      <c r="C37" s="27">
        <v>5.7156699999999998E-6</v>
      </c>
      <c r="D37" s="27">
        <v>2.2043900000000002E-6</v>
      </c>
      <c r="E37" s="27">
        <v>1.1583500000000001E-6</v>
      </c>
      <c r="F37" s="27">
        <v>8.5876299999999997E-7</v>
      </c>
      <c r="G37" s="27">
        <v>7.7403800000000001E-7</v>
      </c>
      <c r="H37" s="27">
        <v>7.5020599999999999E-7</v>
      </c>
      <c r="I37" s="27">
        <v>7.4357100000000001E-7</v>
      </c>
      <c r="J37" s="27">
        <v>7.4175099999999996E-7</v>
      </c>
      <c r="K37" s="27">
        <v>7.4128699999999996E-7</v>
      </c>
      <c r="L37" s="43"/>
      <c r="M37" s="39"/>
      <c r="N37" s="39"/>
      <c r="O37" s="39"/>
      <c r="P37" s="39"/>
      <c r="Q37" s="39"/>
      <c r="R37" s="39"/>
      <c r="S37" s="20"/>
      <c r="T37" s="20"/>
      <c r="U37" s="20"/>
      <c r="V37" s="20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35">
      <c r="A38" t="str">
        <f>'wat types'!$A$4</f>
        <v>cl-</v>
      </c>
      <c r="B38" s="15">
        <v>5.4206599999999997E-5</v>
      </c>
      <c r="C38" s="15">
        <v>1.79428E-5</v>
      </c>
      <c r="D38" s="15">
        <v>5.5486200000000002E-6</v>
      </c>
      <c r="E38" s="15">
        <v>1.6443699999999999E-6</v>
      </c>
      <c r="F38" s="15">
        <v>4.7331699999999998E-7</v>
      </c>
      <c r="G38" s="15">
        <v>1.3337899999999999E-7</v>
      </c>
      <c r="H38" s="15">
        <v>3.6985200000000001E-8</v>
      </c>
      <c r="I38" s="15">
        <v>1.0134900000000001E-8</v>
      </c>
      <c r="J38" s="15">
        <v>2.7850299999999998E-9</v>
      </c>
      <c r="K38" s="15">
        <v>9.0931499999999998E-10</v>
      </c>
      <c r="L38" s="43">
        <f>ABS(B38-SUMPRODUCT($B$23:$K$23,lambdas!$D$2:$M$2)-'wat types'!$B$4*lambdas!$C$2)</f>
        <v>8.6935212988917959E-14</v>
      </c>
      <c r="M38" s="39">
        <f>ABS(C38-SUMPRODUCT($B$23:$K$23,lambdas!$D$3:$M$3)-'wat types'!$B$4*lambdas!$C$3)</f>
        <v>2.0727768557369283E-11</v>
      </c>
      <c r="N38" s="39">
        <f>ABS(D38-SUMPRODUCT($B$23:$K$23,lambdas!$D$4:$M$4)-'wat types'!$B$4*lambdas!$C$4)</f>
        <v>6.6711526782767098E-13</v>
      </c>
      <c r="O38" s="39">
        <f>ABS(E38-SUMPRODUCT($B$23:$K$23,lambdas!$D$5:$M$5)-'wat types'!$B$4*lambdas!$C$5)</f>
        <v>1.3328164533781143E-12</v>
      </c>
      <c r="P38" s="39">
        <f>ABS(F38-SUMPRODUCT($B$23:$K$23,lambdas!$D$6:$M$6)-'wat types'!$B$4*lambdas!$C$6)</f>
        <v>5.5575785483196385E-14</v>
      </c>
      <c r="Q38" s="39">
        <f>ABS(G38-SUMPRODUCT($B$23:$K$23,lambdas!$D$7:$M$7)-'wat types'!$B$4*lambdas!$C$7)</f>
        <v>4.215280958681523E-13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35">
      <c r="A39" t="str">
        <f>'wat types'!$A$5</f>
        <v>no3-</v>
      </c>
      <c r="B39" s="15">
        <v>5.25978E-5</v>
      </c>
      <c r="C39" s="15">
        <v>2.4921300000000001E-5</v>
      </c>
      <c r="D39" s="15">
        <v>1.4542099999999999E-5</v>
      </c>
      <c r="E39" s="15">
        <v>1.11321E-5</v>
      </c>
      <c r="F39" s="15">
        <v>1.00937E-5</v>
      </c>
      <c r="G39" s="15">
        <v>9.7907299999999997E-6</v>
      </c>
      <c r="H39" s="15">
        <v>9.7046399999999996E-6</v>
      </c>
      <c r="I39" s="15">
        <v>9.6806399999999995E-6</v>
      </c>
      <c r="J39" s="15">
        <v>9.67406E-6</v>
      </c>
      <c r="K39" s="15">
        <v>9.6723900000000001E-6</v>
      </c>
      <c r="L39" s="2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35">
      <c r="A40" t="str">
        <f>'wat types'!$A$6</f>
        <v>n2(aq)(p)</v>
      </c>
      <c r="B40" s="15">
        <v>5.5333799999999997E-6</v>
      </c>
      <c r="C40" s="15">
        <v>1.42103E-6</v>
      </c>
      <c r="D40" s="15">
        <v>4.7553599999999998E-7</v>
      </c>
      <c r="E40" s="15">
        <v>2.4788999999999998E-7</v>
      </c>
      <c r="F40" s="15">
        <v>1.8742099999999999E-7</v>
      </c>
      <c r="G40" s="15">
        <v>1.7065699999999999E-7</v>
      </c>
      <c r="H40" s="15">
        <v>1.6598799999999999E-7</v>
      </c>
      <c r="I40" s="15">
        <v>1.6469800000000001E-7</v>
      </c>
      <c r="J40" s="15">
        <v>1.6434700000000001E-7</v>
      </c>
      <c r="K40" s="15">
        <v>1.6425799999999999E-7</v>
      </c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35">
      <c r="A41" t="str">
        <f>'wat types'!$A$7</f>
        <v>ch2o(aq)</v>
      </c>
      <c r="B41" s="15">
        <v>8.9578200000000002E-5</v>
      </c>
      <c r="C41" s="15">
        <v>3.6749199999999997E-5</v>
      </c>
      <c r="D41" s="15">
        <v>1.7526699999999999E-5</v>
      </c>
      <c r="E41" s="15">
        <v>1.12862E-5</v>
      </c>
      <c r="F41" s="15">
        <v>9.3929699999999993E-6</v>
      </c>
      <c r="G41" s="15">
        <v>8.8414600000000006E-6</v>
      </c>
      <c r="H41" s="15">
        <v>8.6849399999999999E-6</v>
      </c>
      <c r="I41" s="15">
        <v>8.6413399999999992E-6</v>
      </c>
      <c r="J41" s="15">
        <v>8.6294099999999998E-6</v>
      </c>
      <c r="K41" s="15">
        <v>8.6263599999999999E-6</v>
      </c>
      <c r="L41" s="2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35">
      <c r="A42" t="str">
        <f>'wat types'!$A$8</f>
        <v>hco3-</v>
      </c>
      <c r="B42" s="15">
        <v>1.0038099999999999E-3</v>
      </c>
      <c r="C42" s="15">
        <v>1.0011600000000001E-3</v>
      </c>
      <c r="D42" s="15">
        <v>1.0014100000000001E-3</v>
      </c>
      <c r="E42" s="15">
        <v>1.0016599999999999E-3</v>
      </c>
      <c r="F42" s="15">
        <v>1.00175E-3</v>
      </c>
      <c r="G42" s="15">
        <v>1.0017699999999999E-3</v>
      </c>
      <c r="H42" s="15">
        <v>1.0017800000000001E-3</v>
      </c>
      <c r="I42" s="15">
        <v>1.0017800000000001E-3</v>
      </c>
      <c r="J42" s="15">
        <v>1.0017800000000001E-3</v>
      </c>
      <c r="K42" s="15">
        <v>1.0017800000000001E-3</v>
      </c>
      <c r="L42" s="24"/>
    </row>
    <row r="43" spans="1:32" x14ac:dyDescent="0.35">
      <c r="A43" t="str">
        <f>'wat types'!$A$9</f>
        <v>o2(aq)</v>
      </c>
      <c r="B43" s="15">
        <v>1.9770200000000001E-7</v>
      </c>
      <c r="C43" s="15">
        <v>1.16237E-7</v>
      </c>
      <c r="D43" s="15">
        <v>7.1724300000000004E-8</v>
      </c>
      <c r="E43" s="15">
        <v>4.7899200000000002E-8</v>
      </c>
      <c r="F43" s="15">
        <v>3.8866900000000001E-8</v>
      </c>
      <c r="G43" s="15">
        <v>3.6282E-8</v>
      </c>
      <c r="H43" s="15">
        <v>3.5629199999999999E-8</v>
      </c>
      <c r="I43" s="15">
        <v>3.5471199999999998E-8</v>
      </c>
      <c r="J43" s="15">
        <v>3.5433600000000003E-8</v>
      </c>
      <c r="K43" s="15">
        <v>3.54251E-8</v>
      </c>
      <c r="L43" s="2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35">
      <c r="A44" t="str">
        <f>'wat types'!$A$10</f>
        <v>co3-2</v>
      </c>
      <c r="B44" s="15">
        <v>2.8118700000000001E-9</v>
      </c>
      <c r="C44" s="15">
        <v>8.2155299999999996E-9</v>
      </c>
      <c r="D44" s="15">
        <v>2.1307E-8</v>
      </c>
      <c r="E44" s="15">
        <v>4.05584E-8</v>
      </c>
      <c r="F44" s="15">
        <v>5.4712199999999998E-8</v>
      </c>
      <c r="G44" s="15">
        <v>6.0702400000000005E-8</v>
      </c>
      <c r="H44" s="15">
        <v>6.2631300000000003E-8</v>
      </c>
      <c r="I44" s="15">
        <v>6.3190300000000002E-8</v>
      </c>
      <c r="J44" s="15">
        <v>6.3345300000000005E-8</v>
      </c>
      <c r="K44" s="15">
        <v>6.3384999999999995E-8</v>
      </c>
      <c r="L44" s="2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35">
      <c r="A45" s="2" t="s">
        <v>26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35">
      <c r="A46" t="s">
        <v>27</v>
      </c>
      <c r="B46" s="15">
        <v>-8.5664600000000006E-6</v>
      </c>
      <c r="C46" s="15">
        <v>-3.34929E-6</v>
      </c>
      <c r="D46" s="15">
        <v>-2.90073E-6</v>
      </c>
      <c r="E46" s="15">
        <v>-2.6490399999999998E-6</v>
      </c>
      <c r="F46" s="15">
        <v>-2.1953599999999999E-6</v>
      </c>
      <c r="G46" s="15">
        <v>-1.9856800000000002E-6</v>
      </c>
      <c r="H46" s="15">
        <v>-1.9273600000000001E-6</v>
      </c>
      <c r="I46" s="15">
        <v>-1.9141699999999998E-6</v>
      </c>
      <c r="J46" s="15">
        <v>-1.91149E-6</v>
      </c>
      <c r="K46" s="32">
        <v>-1.911E-6</v>
      </c>
      <c r="L46" s="20">
        <f>ABS(1-B37*B44/(B42*chem!$L$29))</f>
        <v>5.1847971446195018E-6</v>
      </c>
      <c r="M46" s="20">
        <f>ABS(1-C37*C44/(C42*chem!$L$29))</f>
        <v>1.7438719577267392E-6</v>
      </c>
      <c r="N46" s="20">
        <f>ABS(1-D37*D44/(D42*chem!$L$29))</f>
        <v>2.7304332403943476E-6</v>
      </c>
      <c r="O46" s="20">
        <f>ABS(1-E37*E44/(E42*chem!$L$29))</f>
        <v>6.5837312934746706E-7</v>
      </c>
      <c r="P46" s="20">
        <f>ABS(1-F37*F44/(F42*chem!$L$29))</f>
        <v>4.2559201788305856E-6</v>
      </c>
      <c r="Q46" s="20">
        <f>ABS(1-G37*G44/(G42*chem!$L$29))</f>
        <v>2.8220091552455528E-7</v>
      </c>
      <c r="R46" s="20">
        <f>ABS(1-H37*H44/(H42*chem!$L$29))</f>
        <v>9.1544003488763792E-7</v>
      </c>
      <c r="S46" s="20">
        <f>ABS(1-I37*I44/(I42*chem!$L$29))</f>
        <v>1.1599149265517639E-6</v>
      </c>
      <c r="T46" s="20">
        <f>ABS(1-J37*J44/(J42*chem!$L$29))</f>
        <v>4.1627453106762857E-7</v>
      </c>
      <c r="U46" s="20">
        <f>ABS(1-K37*K44/(K42*chem!$L$29))</f>
        <v>1.201069370626584E-6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35">
      <c r="A47" s="2" t="s">
        <v>25</v>
      </c>
      <c r="B47" s="15"/>
      <c r="C47" s="15"/>
      <c r="D47" s="15"/>
      <c r="E47" s="15"/>
      <c r="F47" s="15"/>
      <c r="G47" s="15"/>
      <c r="H47" s="15"/>
      <c r="I47" s="15"/>
      <c r="J47" s="15"/>
      <c r="K47" s="32"/>
      <c r="L47" s="3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35">
      <c r="A48" t="s">
        <v>28</v>
      </c>
      <c r="B48" s="15">
        <v>7.9693299999999999E-4</v>
      </c>
      <c r="C48" s="15">
        <v>2.03644E-4</v>
      </c>
      <c r="D48" s="15">
        <v>6.1331899999999995E-5</v>
      </c>
      <c r="E48" s="15">
        <v>2.6600900000000001E-5</v>
      </c>
      <c r="F48" s="15">
        <v>1.80139E-5</v>
      </c>
      <c r="G48" s="15">
        <v>1.58413E-5</v>
      </c>
      <c r="H48" s="15">
        <v>1.5284199999999998E-5</v>
      </c>
      <c r="I48" s="15">
        <v>1.5140899999999999E-5</v>
      </c>
      <c r="J48" s="15">
        <v>1.51042E-5</v>
      </c>
      <c r="K48" s="32">
        <v>1.5095299999999999E-5</v>
      </c>
      <c r="L48" s="27">
        <f>ABS(B48-chem!$E$5*B41*B43/((chem!$G$5+B41)*(chem!$I$5+B43)))</f>
        <v>1.5883184999437167E-9</v>
      </c>
      <c r="M48" s="27">
        <f>ABS(C48-chem!$E$5*C41*C43/((chem!$G$5+C41)*(chem!$I$5+C43)))</f>
        <v>9.551295734953457E-10</v>
      </c>
      <c r="N48" s="27">
        <f>ABS(D48-chem!$E$5*D41*D43/((chem!$G$5+D41)*(chem!$I$5+D43)))</f>
        <v>5.8444782271172696E-11</v>
      </c>
      <c r="O48" s="27">
        <f>ABS(E48-chem!$E$5*E41*E43/((chem!$G$5+E41)*(chem!$I$5+E43)))</f>
        <v>1.9925565276928845E-11</v>
      </c>
      <c r="P48" s="27">
        <f>ABS(F48-chem!$E$5*F41*F43/((chem!$G$5+F41)*(chem!$I$5+F43)))</f>
        <v>5.1058048746246715E-12</v>
      </c>
      <c r="Q48" s="27">
        <f>ABS(G48-chem!$E$5*G41*G43/((chem!$G$5+G41)*(chem!$I$5+G43)))</f>
        <v>5.0573196404458823E-11</v>
      </c>
      <c r="R48" s="27">
        <f>ABS(H48-chem!$E$5*H41*H43/((chem!$G$5+H41)*(chem!$I$5+H43)))</f>
        <v>1.5017393321177692E-12</v>
      </c>
      <c r="S48" s="27">
        <f>ABS(I48-chem!$E$5*I41*I43/((chem!$G$5+I41)*(chem!$I$5+I43)))</f>
        <v>2.6298148393712477E-11</v>
      </c>
      <c r="T48" s="27">
        <f>ABS(J48-chem!$E$5*J41*J43/((chem!$G$5+J41)*(chem!$I$5+J43)))</f>
        <v>3.0935916543102537E-11</v>
      </c>
      <c r="U48" s="27">
        <f>ABS(K48-chem!$E$5*K41*K43/((chem!$G$5+K41)*(chem!$I$5+K43)))</f>
        <v>2.8889288212357884E-11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35">
      <c r="A49" t="s">
        <v>29</v>
      </c>
      <c r="B49" s="15">
        <v>1.05448E-3</v>
      </c>
      <c r="C49" s="15">
        <v>2.1418399999999999E-4</v>
      </c>
      <c r="D49" s="15">
        <v>6.0627400000000002E-5</v>
      </c>
      <c r="E49" s="15">
        <v>3.0063899999999999E-5</v>
      </c>
      <c r="F49" s="15">
        <v>2.27295E-5</v>
      </c>
      <c r="G49" s="15">
        <v>2.0764E-5</v>
      </c>
      <c r="H49" s="15">
        <v>2.02201E-5</v>
      </c>
      <c r="I49" s="15">
        <v>2.0069599999999998E-5</v>
      </c>
      <c r="J49" s="15">
        <v>2.00285E-5</v>
      </c>
      <c r="K49" s="33">
        <v>2.0018100000000001E-5</v>
      </c>
      <c r="L49" s="29">
        <f>ABS(B49-chem!$E$6*B41*B39*chem!$K$6/((chem!$G$6+B41)*(chem!$I$6+B39)*(chem!$K$6+results!B43)))</f>
        <v>5.2694183621561363E-9</v>
      </c>
      <c r="M49" s="29">
        <f>ABS(C49-chem!$E$6*C41*C39*chem!$K$6/((chem!$G$6+C41)*(chem!$I$6+C39)*(chem!$K$6+results!C43)))</f>
        <v>3.0023382101306874E-10</v>
      </c>
      <c r="N49" s="29">
        <f>ABS(D49-chem!$E$6*D41*D39*chem!$K$6/((chem!$G$6+D41)*(chem!$I$6+D39)*(chem!$K$6+results!D43)))</f>
        <v>2.2642404527787588E-10</v>
      </c>
      <c r="O49" s="29">
        <f>ABS(E49-chem!$E$6*E41*E39*chem!$K$6/((chem!$G$6+E41)*(chem!$I$6+E39)*(chem!$K$6+results!E43)))</f>
        <v>6.5639761878802166E-11</v>
      </c>
      <c r="P49" s="29">
        <f>ABS(F49-chem!$E$6*F41*F39*chem!$K$6/((chem!$G$6+F41)*(chem!$I$6+F39)*(chem!$K$6+results!F43)))</f>
        <v>1.2238825179209495E-10</v>
      </c>
      <c r="Q49" s="29">
        <f>ABS(G49-chem!$E$6*G41*G39*chem!$K$6/((chem!$G$6+G41)*(chem!$I$6+G39)*(chem!$K$6+results!G43)))</f>
        <v>4.8820276692270424E-11</v>
      </c>
      <c r="R49" s="29">
        <f>ABS(H49-chem!$E$6*H41*H39*chem!$K$6/((chem!$G$6+H41)*(chem!$I$6+H39)*(chem!$K$6+results!H43)))</f>
        <v>1.3764334137934429E-11</v>
      </c>
      <c r="S49" s="29">
        <f>ABS(I49-chem!$E$6*I41*I39*chem!$K$6/((chem!$G$6+I41)*(chem!$I$6+I39)*(chem!$K$6+results!I43)))</f>
        <v>5.1877636789241649E-11</v>
      </c>
      <c r="T49" s="29">
        <f>ABS(J49-chem!$E$6*J41*J39*chem!$K$6/((chem!$G$6+J41)*(chem!$I$6+J39)*(chem!$K$6+results!J43)))</f>
        <v>4.3373902600530971E-11</v>
      </c>
      <c r="U49" s="29">
        <f>ABS(K49-chem!$E$6*K41*K39*chem!$K$6/((chem!$G$6+K41)*(chem!$I$6+K39)*(chem!$K$6+results!K43)))</f>
        <v>3.6058039570136501E-11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s="18" customFormat="1" x14ac:dyDescent="0.35">
      <c r="A50" s="16" t="str">
        <f>A35</f>
        <v>aq species conc</v>
      </c>
      <c r="B50" s="63" t="s">
        <v>70</v>
      </c>
      <c r="C50" s="63"/>
      <c r="D50" s="63"/>
      <c r="E50" s="63"/>
      <c r="F50" s="63"/>
      <c r="G50" s="63"/>
      <c r="H50" s="63"/>
      <c r="I50" s="63"/>
      <c r="J50" s="63"/>
      <c r="K50" s="63"/>
      <c r="L50" s="28" t="s">
        <v>66</v>
      </c>
      <c r="M50" s="17"/>
      <c r="N50" s="17"/>
      <c r="O50" s="17"/>
      <c r="P50" s="17"/>
      <c r="Q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spans="1:32" x14ac:dyDescent="0.35">
      <c r="A51" t="str">
        <f>'wat types'!$A$2</f>
        <v xml:space="preserve">h2o(p)         </v>
      </c>
      <c r="B51" s="15">
        <v>55.555599999999998</v>
      </c>
      <c r="C51" s="15">
        <v>55.555599999999998</v>
      </c>
      <c r="D51" s="15">
        <v>55.555599999999998</v>
      </c>
      <c r="E51" s="15">
        <v>55.555599999999998</v>
      </c>
      <c r="F51" s="15">
        <v>55.555599999999998</v>
      </c>
      <c r="G51" s="15">
        <v>55.555599999999998</v>
      </c>
      <c r="H51" s="15">
        <v>55.555599999999998</v>
      </c>
      <c r="I51" s="15">
        <v>55.555599999999998</v>
      </c>
      <c r="J51" s="15">
        <v>55.555599999999998</v>
      </c>
      <c r="K51" s="15">
        <v>55.555599999999998</v>
      </c>
      <c r="L51" s="24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35">
      <c r="A52" t="str">
        <f>'wat types'!$A$3</f>
        <v>h+</v>
      </c>
      <c r="B52" s="27">
        <v>6.6651799999999998E-5</v>
      </c>
      <c r="C52" s="27">
        <v>4.3223999999999998E-5</v>
      </c>
      <c r="D52" s="27">
        <v>2.5844900000000001E-5</v>
      </c>
      <c r="E52" s="27">
        <v>1.45849E-5</v>
      </c>
      <c r="F52" s="27">
        <v>7.9880399999999998E-6</v>
      </c>
      <c r="G52" s="27">
        <v>4.4167200000000001E-6</v>
      </c>
      <c r="H52" s="27">
        <v>2.6048200000000002E-6</v>
      </c>
      <c r="I52" s="27">
        <v>1.7375600000000001E-6</v>
      </c>
      <c r="J52" s="27">
        <v>1.34904E-6</v>
      </c>
      <c r="K52" s="27">
        <v>1.20155E-6</v>
      </c>
      <c r="L52" s="43"/>
      <c r="M52" s="39"/>
      <c r="N52" s="39"/>
      <c r="O52" s="39"/>
      <c r="P52" s="39"/>
      <c r="Q52" s="39"/>
      <c r="R52" s="39"/>
      <c r="S52" s="20"/>
      <c r="T52" s="20"/>
      <c r="U52" s="20"/>
      <c r="V52" s="20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35">
      <c r="A53" t="str">
        <f>'wat types'!$A$4</f>
        <v>cl-</v>
      </c>
      <c r="B53" s="15">
        <v>1.65601E-4</v>
      </c>
      <c r="C53" s="15">
        <v>1.0440700000000001E-4</v>
      </c>
      <c r="D53" s="15">
        <v>6.1565100000000005E-5</v>
      </c>
      <c r="E53" s="15">
        <v>3.4109100000000002E-5</v>
      </c>
      <c r="F53" s="15">
        <v>1.7853799999999998E-5</v>
      </c>
      <c r="G53" s="15">
        <v>8.8798799999999998E-6</v>
      </c>
      <c r="H53" s="15">
        <v>4.2223000000000002E-6</v>
      </c>
      <c r="I53" s="15">
        <v>1.9383799999999998E-6</v>
      </c>
      <c r="J53" s="15">
        <v>8.9038200000000001E-7</v>
      </c>
      <c r="K53" s="15">
        <v>4.8505199999999997E-7</v>
      </c>
      <c r="L53" s="2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35">
      <c r="A54" t="str">
        <f>'wat types'!$A$5</f>
        <v>no3-</v>
      </c>
      <c r="B54" s="15">
        <v>7.4906499999999998E-5</v>
      </c>
      <c r="C54" s="15">
        <v>4.7163500000000003E-5</v>
      </c>
      <c r="D54" s="15">
        <v>3.1558199999999999E-5</v>
      </c>
      <c r="E54" s="15">
        <v>2.2023900000000001E-5</v>
      </c>
      <c r="F54" s="15">
        <v>1.6101100000000001E-5</v>
      </c>
      <c r="G54" s="15">
        <v>1.25601E-5</v>
      </c>
      <c r="H54" s="15">
        <v>1.0574700000000001E-5</v>
      </c>
      <c r="I54" s="15">
        <v>9.5374400000000006E-6</v>
      </c>
      <c r="J54" s="15">
        <v>9.0382999999999995E-6</v>
      </c>
      <c r="K54" s="15">
        <v>8.8391699999999996E-6</v>
      </c>
      <c r="L54" s="2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35">
      <c r="A55" t="str">
        <f>'wat types'!$A$6</f>
        <v>n2(aq)(p)</v>
      </c>
      <c r="B55" s="15">
        <v>4.9519199999999998E-5</v>
      </c>
      <c r="C55" s="15">
        <v>3.3099599999999997E-5</v>
      </c>
      <c r="D55" s="15">
        <v>1.9695600000000002E-5</v>
      </c>
      <c r="E55" s="15">
        <v>1.08721E-5</v>
      </c>
      <c r="F55" s="15">
        <v>5.7871E-6</v>
      </c>
      <c r="G55" s="15">
        <v>3.1154899999999998E-6</v>
      </c>
      <c r="H55" s="15">
        <v>1.8026999999999999E-6</v>
      </c>
      <c r="I55" s="15">
        <v>1.19078E-6</v>
      </c>
      <c r="J55" s="15">
        <v>9.2159199999999998E-7</v>
      </c>
      <c r="K55" s="15">
        <v>8.2051699999999996E-7</v>
      </c>
      <c r="L55" s="2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35">
      <c r="A56" t="str">
        <f>'wat types'!$A$7</f>
        <v>ch2o(aq)</v>
      </c>
      <c r="B56" s="15">
        <v>1.7313300000000001E-4</v>
      </c>
      <c r="C56" s="15">
        <v>1.07755E-4</v>
      </c>
      <c r="D56" s="15">
        <v>6.6779400000000006E-5</v>
      </c>
      <c r="E56" s="15">
        <v>4.1109200000000003E-5</v>
      </c>
      <c r="F56" s="15">
        <v>2.5565500000000001E-5</v>
      </c>
      <c r="G56" s="15">
        <v>1.6645899999999999E-5</v>
      </c>
      <c r="H56" s="15">
        <v>1.18322E-5</v>
      </c>
      <c r="I56" s="15">
        <v>9.3921699999999992E-6</v>
      </c>
      <c r="J56" s="15">
        <v>8.2435899999999995E-6</v>
      </c>
      <c r="K56" s="15">
        <v>7.7917700000000001E-6</v>
      </c>
      <c r="L56" s="2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35">
      <c r="A57" t="str">
        <f>'wat types'!$A$8</f>
        <v>hco3-</v>
      </c>
      <c r="B57" s="15">
        <v>1.0906500000000001E-3</v>
      </c>
      <c r="C57" s="15">
        <v>1.0624199999999999E-3</v>
      </c>
      <c r="D57" s="15">
        <v>1.03786E-3</v>
      </c>
      <c r="E57" s="15">
        <v>1.0215300000000001E-3</v>
      </c>
      <c r="F57" s="15">
        <v>1.0122099999999999E-3</v>
      </c>
      <c r="G57" s="15">
        <v>1.0074000000000001E-3</v>
      </c>
      <c r="H57" s="15">
        <v>1.00508E-3</v>
      </c>
      <c r="I57" s="15">
        <v>1.0040100000000001E-3</v>
      </c>
      <c r="J57" s="15">
        <v>1.00355E-3</v>
      </c>
      <c r="K57" s="15">
        <v>1.0033799999999999E-3</v>
      </c>
      <c r="L57" s="24"/>
    </row>
    <row r="58" spans="1:32" x14ac:dyDescent="0.35">
      <c r="A58" t="str">
        <f>'wat types'!$A$9</f>
        <v>o2(aq)</v>
      </c>
      <c r="B58" s="15">
        <v>1.07488E-7</v>
      </c>
      <c r="C58" s="15">
        <v>3.9233099999999997E-8</v>
      </c>
      <c r="D58" s="15">
        <v>1.50428E-8</v>
      </c>
      <c r="E58" s="15">
        <v>5.9540199999999997E-9</v>
      </c>
      <c r="F58" s="15">
        <v>2.3820800000000001E-9</v>
      </c>
      <c r="G58" s="15">
        <v>9.3080200000000005E-10</v>
      </c>
      <c r="H58" s="15">
        <v>3.41951E-10</v>
      </c>
      <c r="I58" s="15">
        <v>1.15887E-10</v>
      </c>
      <c r="J58" s="15">
        <v>3.7045099999999999E-11</v>
      </c>
      <c r="K58" s="15">
        <v>1.35391E-11</v>
      </c>
      <c r="L58" s="2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35">
      <c r="A59" t="str">
        <f>'wat types'!$A$10</f>
        <v>co3-2</v>
      </c>
      <c r="B59" s="15">
        <v>7.6749100000000001E-10</v>
      </c>
      <c r="C59" s="15">
        <v>1.15285E-9</v>
      </c>
      <c r="D59" s="15">
        <v>1.8835E-9</v>
      </c>
      <c r="E59" s="15">
        <v>3.2850899999999999E-9</v>
      </c>
      <c r="F59" s="15">
        <v>5.9433200000000001E-9</v>
      </c>
      <c r="G59" s="15">
        <v>1.06979E-8</v>
      </c>
      <c r="H59" s="15">
        <v>1.8097599999999999E-8</v>
      </c>
      <c r="I59" s="15">
        <v>2.7101900000000001E-8</v>
      </c>
      <c r="J59" s="15">
        <v>3.4891099999999997E-8</v>
      </c>
      <c r="K59" s="15">
        <v>3.9167299999999999E-8</v>
      </c>
      <c r="L59" s="2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35">
      <c r="A60" s="2" t="s">
        <v>26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35">
      <c r="A61" t="s">
        <v>27</v>
      </c>
      <c r="B61" s="15">
        <v>-7.8613000000000004E-6</v>
      </c>
      <c r="C61" s="15">
        <v>-1.91703E-6</v>
      </c>
      <c r="D61" s="15">
        <v>-5.2309499999999999E-7</v>
      </c>
      <c r="E61" s="15">
        <v>-2.3311600000000001E-7</v>
      </c>
      <c r="F61" s="15">
        <v>-2.4111099999999999E-7</v>
      </c>
      <c r="G61" s="15">
        <v>-3.3214499999999999E-7</v>
      </c>
      <c r="H61" s="15">
        <v>-3.9380699999999997E-7</v>
      </c>
      <c r="I61" s="15">
        <v>-3.5298999999999999E-7</v>
      </c>
      <c r="J61" s="15">
        <v>-2.4954899999999998E-7</v>
      </c>
      <c r="K61" s="32">
        <v>-1.76639E-7</v>
      </c>
      <c r="L61" s="20">
        <f>ABS(1-B52*B59/(B57*chem!$L$29))</f>
        <v>5.2915572212874906E-7</v>
      </c>
      <c r="M61" s="20">
        <f>ABS(1-C52*C59/(C57*chem!$L$29))</f>
        <v>3.5016926882569521E-6</v>
      </c>
      <c r="N61" s="20">
        <f>ABS(1-D52*D59/(D57*chem!$L$29))</f>
        <v>3.9292780675825867E-6</v>
      </c>
      <c r="O61" s="20">
        <f>ABS(1-E52*E59/(E57*chem!$L$29))</f>
        <v>9.1507268995538737E-7</v>
      </c>
      <c r="P61" s="20">
        <f>ABS(1-F52*F59/(F57*chem!$L$29))</f>
        <v>2.9437800778131518E-6</v>
      </c>
      <c r="Q61" s="20">
        <f>ABS(1-G52*G59/(G57*chem!$L$29))</f>
        <v>8.1620210679034244E-6</v>
      </c>
      <c r="R61" s="20">
        <f>ABS(1-H52*H59/(H57*chem!$L$29))</f>
        <v>4.4400105456698924E-6</v>
      </c>
      <c r="S61" s="20">
        <f>ABS(1-I52*I59/(I57*chem!$L$29))</f>
        <v>3.4775789037322369E-6</v>
      </c>
      <c r="T61" s="20">
        <f>ABS(1-J52*J59/(J57*chem!$L$29))</f>
        <v>1.0897054230074588E-6</v>
      </c>
      <c r="U61" s="20">
        <f>ABS(1-K52*K59/(K57*chem!$L$29))</f>
        <v>9.6924416714827544E-8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35">
      <c r="A62" s="2" t="s">
        <v>25</v>
      </c>
      <c r="B62" s="15"/>
      <c r="C62" s="15"/>
      <c r="D62" s="15"/>
      <c r="E62" s="15"/>
      <c r="F62" s="15"/>
      <c r="G62" s="15"/>
      <c r="H62" s="15"/>
      <c r="I62" s="15"/>
      <c r="J62" s="15"/>
      <c r="K62" s="32"/>
      <c r="L62" s="3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35">
      <c r="A63" t="s">
        <v>28</v>
      </c>
      <c r="B63" s="15">
        <v>7.8472500000000001E-4</v>
      </c>
      <c r="C63" s="15">
        <v>1.9007E-4</v>
      </c>
      <c r="D63" s="15">
        <v>4.7012399999999997E-5</v>
      </c>
      <c r="E63" s="15">
        <v>1.1748E-5</v>
      </c>
      <c r="F63" s="15">
        <v>2.96833E-6</v>
      </c>
      <c r="G63" s="15">
        <v>7.6194699999999999E-7</v>
      </c>
      <c r="H63" s="15">
        <v>1.9992899999999999E-7</v>
      </c>
      <c r="I63" s="15">
        <v>5.3914399999999997E-8</v>
      </c>
      <c r="J63" s="15">
        <v>1.5144299999999999E-8</v>
      </c>
      <c r="K63" s="32">
        <v>5.2338799999999997E-9</v>
      </c>
      <c r="L63" s="27">
        <f>ABS(B63-chem!$E$5*B56*B58/((chem!$G$5+B56)*(chem!$I$5+B58)))</f>
        <v>3.3721055929135033E-9</v>
      </c>
      <c r="M63" s="27">
        <f>ABS(C63-chem!$E$5*C56*C58/((chem!$G$5+C56)*(chem!$I$5+C58)))</f>
        <v>9.755041826403632E-10</v>
      </c>
      <c r="N63" s="27">
        <f>ABS(D63-chem!$E$5*D56*D58/((chem!$G$5+D56)*(chem!$I$5+D58)))</f>
        <v>1.4565143552645919E-10</v>
      </c>
      <c r="O63" s="27">
        <f>ABS(E63-chem!$E$5*E56*E58/((chem!$G$5+E56)*(chem!$I$5+E58)))</f>
        <v>1.6064621346774475E-11</v>
      </c>
      <c r="P63" s="27">
        <f>ABS(F63-chem!$E$5*F56*F58/((chem!$G$5+F56)*(chem!$I$5+F58)))</f>
        <v>1.1029900332163144E-11</v>
      </c>
      <c r="Q63" s="27">
        <f>ABS(G63-chem!$E$5*G56*G58/((chem!$G$5+G56)*(chem!$I$5+G58)))</f>
        <v>5.3673472774602656E-13</v>
      </c>
      <c r="R63" s="27">
        <f>ABS(H63-chem!$E$5*H56*H58/((chem!$G$5+H56)*(chem!$I$5+H58)))</f>
        <v>1.1237855266529704E-13</v>
      </c>
      <c r="S63" s="27">
        <f>ABS(I63-chem!$E$5*I56*I58/((chem!$G$5+I56)*(chem!$I$5+I58)))</f>
        <v>1.1527916747482921E-13</v>
      </c>
      <c r="T63" s="27">
        <f>ABS(J63-chem!$E$5*J56*J58/((chem!$G$5+J56)*(chem!$I$5+J58)))</f>
        <v>3.0578527526018157E-14</v>
      </c>
      <c r="U63" s="27">
        <f>ABS(K63-chem!$E$5*K56*K58/((chem!$G$5+K56)*(chem!$I$5+K58)))</f>
        <v>9.2576199915786534E-15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5">
      <c r="A64" t="s">
        <v>29</v>
      </c>
      <c r="B64" s="15">
        <v>2.74779E-3</v>
      </c>
      <c r="C64" s="15">
        <v>1.1317600000000001E-3</v>
      </c>
      <c r="D64" s="15">
        <v>4.8416399999999998E-4</v>
      </c>
      <c r="E64" s="15">
        <v>2.1212499999999999E-4</v>
      </c>
      <c r="F64" s="15">
        <v>9.7605599999999999E-5</v>
      </c>
      <c r="G64" s="15">
        <v>4.9920399999999997E-5</v>
      </c>
      <c r="H64" s="15">
        <v>2.9987700000000001E-5</v>
      </c>
      <c r="I64" s="15">
        <v>2.1509999999999999E-5</v>
      </c>
      <c r="J64" s="15">
        <v>1.7907600000000001E-5</v>
      </c>
      <c r="K64" s="33">
        <v>1.6559099999999999E-5</v>
      </c>
      <c r="L64" s="29">
        <f>ABS(B64-chem!$E$6*B56*B54*chem!$K$6/((chem!$G$6+B56)*(chem!$I$6+B54)*(chem!$K$6+results!B58)))</f>
        <v>4.8264082574273059E-9</v>
      </c>
      <c r="M64" s="29">
        <f>ABS(C64-chem!$E$6*C56*C54*chem!$K$6/((chem!$G$6+C56)*(chem!$I$6+C54)*(chem!$K$6+results!C58)))</f>
        <v>7.4099448734050999E-9</v>
      </c>
      <c r="N64" s="29">
        <f>ABS(D64-chem!$E$6*D56*D54*chem!$K$6/((chem!$G$6+D56)*(chem!$I$6+D54)*(chem!$K$6+results!D58)))</f>
        <v>5.893724988842268E-10</v>
      </c>
      <c r="O64" s="29">
        <f>ABS(E64-chem!$E$6*E56*E54*chem!$K$6/((chem!$G$6+E56)*(chem!$I$6+E54)*(chem!$K$6+results!E58)))</f>
        <v>8.5317226693843937E-10</v>
      </c>
      <c r="P64" s="29">
        <f>ABS(F64-chem!$E$6*F56*F54*chem!$K$6/((chem!$G$6+F56)*(chem!$I$6+F54)*(chem!$K$6+results!F58)))</f>
        <v>2.88633080177997E-10</v>
      </c>
      <c r="Q64" s="29">
        <f>ABS(G64-chem!$E$6*G56*G54*chem!$K$6/((chem!$G$6+G56)*(chem!$I$6+G54)*(chem!$K$6+results!G58)))</f>
        <v>6.9067565123365985E-11</v>
      </c>
      <c r="R64" s="29">
        <f>ABS(H64-chem!$E$6*H56*H54*chem!$K$6/((chem!$G$6+H56)*(chem!$I$6+H54)*(chem!$K$6+results!H58)))</f>
        <v>1.1802455166616196E-10</v>
      </c>
      <c r="S64" s="29">
        <f>ABS(I64-chem!$E$6*I56*I54*chem!$K$6/((chem!$G$6+I56)*(chem!$I$6+I54)*(chem!$K$6+results!I58)))</f>
        <v>4.3700089255799615E-13</v>
      </c>
      <c r="T64" s="29">
        <f>ABS(J64-chem!$E$6*J56*J54*chem!$K$6/((chem!$G$6+J56)*(chem!$I$6+J54)*(chem!$K$6+results!J58)))</f>
        <v>2.1453934406724575E-11</v>
      </c>
      <c r="U64" s="29">
        <f>ABS(K64-chem!$E$6*K56*K54*chem!$K$6/((chem!$G$6+K56)*(chem!$I$6+K54)*(chem!$K$6+results!K58)))</f>
        <v>2.0295812421097445E-12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s="18" customFormat="1" x14ac:dyDescent="0.35">
      <c r="A65" s="16" t="str">
        <f>A50</f>
        <v>aq species conc</v>
      </c>
      <c r="B65" s="63" t="s">
        <v>72</v>
      </c>
      <c r="C65" s="63"/>
      <c r="D65" s="63"/>
      <c r="E65" s="63"/>
      <c r="F65" s="63"/>
      <c r="G65" s="63"/>
      <c r="H65" s="63"/>
      <c r="I65" s="63"/>
      <c r="J65" s="63"/>
      <c r="K65" s="63"/>
      <c r="L65" s="28" t="s">
        <v>66</v>
      </c>
      <c r="M65" s="17"/>
      <c r="N65" s="17"/>
      <c r="O65" s="17"/>
      <c r="P65" s="17"/>
      <c r="Q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spans="1:32" x14ac:dyDescent="0.35">
      <c r="A66" t="str">
        <f>'wat types'!$A$2</f>
        <v xml:space="preserve">h2o(p)         </v>
      </c>
      <c r="B66" s="15">
        <v>55.555599999999998</v>
      </c>
      <c r="C66" s="15">
        <v>55.555599999999998</v>
      </c>
      <c r="D66" s="15">
        <v>55.555599999999998</v>
      </c>
      <c r="E66" s="15">
        <v>55.555599999999998</v>
      </c>
      <c r="F66" s="15">
        <v>55.555599999999998</v>
      </c>
      <c r="G66" s="15">
        <v>55.555599999999998</v>
      </c>
      <c r="H66" s="15">
        <v>55.555599999999998</v>
      </c>
      <c r="I66" s="15">
        <v>55.555599999999998</v>
      </c>
      <c r="J66" s="15">
        <v>55.555599999999998</v>
      </c>
      <c r="K66" s="15">
        <v>55.555599999999998</v>
      </c>
      <c r="L66" s="24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35">
      <c r="A67" t="str">
        <f>'wat types'!$A$3</f>
        <v>h+</v>
      </c>
      <c r="B67" s="27">
        <v>2.5081099999999998E-4</v>
      </c>
      <c r="C67" s="27">
        <v>2.3506300000000001E-4</v>
      </c>
      <c r="D67" s="27">
        <v>2.1691500000000001E-4</v>
      </c>
      <c r="E67" s="27">
        <v>1.9856499999999999E-4</v>
      </c>
      <c r="F67" s="27">
        <v>1.81182E-4</v>
      </c>
      <c r="G67" s="27">
        <v>1.65503E-4</v>
      </c>
      <c r="H67" s="27">
        <v>1.52075E-4</v>
      </c>
      <c r="I67" s="27">
        <v>1.41364E-4</v>
      </c>
      <c r="J67" s="27">
        <v>1.3380299999999999E-4</v>
      </c>
      <c r="K67" s="27">
        <v>1.29813E-4</v>
      </c>
      <c r="L67" s="43"/>
      <c r="M67" s="39"/>
      <c r="N67" s="39"/>
      <c r="O67" s="39"/>
      <c r="P67" s="39"/>
      <c r="Q67" s="39"/>
      <c r="R67" s="39"/>
      <c r="S67" s="20"/>
      <c r="T67" s="20"/>
      <c r="U67" s="20"/>
      <c r="V67" s="20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35">
      <c r="A68" t="str">
        <f>'wat types'!$A$4</f>
        <v>cl-</v>
      </c>
      <c r="B68" s="15">
        <v>5.2205299999999997E-4</v>
      </c>
      <c r="C68" s="15">
        <v>4.77799E-4</v>
      </c>
      <c r="D68" s="15">
        <v>4.3548300000000002E-4</v>
      </c>
      <c r="E68" s="15">
        <v>3.9580799999999999E-4</v>
      </c>
      <c r="F68" s="15">
        <v>3.5949499999999999E-4</v>
      </c>
      <c r="G68" s="15">
        <v>3.2728400000000001E-4</v>
      </c>
      <c r="H68" s="15">
        <v>2.9993100000000003E-4</v>
      </c>
      <c r="I68" s="15">
        <v>2.7820999999999998E-4</v>
      </c>
      <c r="J68" s="15">
        <v>2.6291200000000002E-4</v>
      </c>
      <c r="K68" s="15">
        <v>2.5484699999999999E-4</v>
      </c>
      <c r="L68" s="2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35">
      <c r="A69" t="str">
        <f>'wat types'!$A$5</f>
        <v>no3-</v>
      </c>
      <c r="B69" s="15">
        <v>4.7495399999999999E-5</v>
      </c>
      <c r="C69" s="15">
        <v>2.2646999999999998E-5</v>
      </c>
      <c r="D69" s="15">
        <v>1.11162E-5</v>
      </c>
      <c r="E69" s="15">
        <v>5.6078199999999996E-6</v>
      </c>
      <c r="F69" s="15">
        <v>2.9086899999999999E-6</v>
      </c>
      <c r="G69" s="15">
        <v>1.5521600000000001E-6</v>
      </c>
      <c r="H69" s="15">
        <v>8.5399199999999999E-7</v>
      </c>
      <c r="I69" s="15">
        <v>4.8931900000000002E-7</v>
      </c>
      <c r="J69" s="15">
        <v>3.0268000000000001E-7</v>
      </c>
      <c r="K69" s="15">
        <v>2.22211E-7</v>
      </c>
      <c r="L69" s="2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x14ac:dyDescent="0.35">
      <c r="A70" t="str">
        <f>'wat types'!$A$6</f>
        <v>n2(aq)(p)</v>
      </c>
      <c r="B70" s="15">
        <v>2.39669E-4</v>
      </c>
      <c r="C70" s="15">
        <v>2.30187E-4</v>
      </c>
      <c r="D70" s="15">
        <v>2.1500600000000001E-4</v>
      </c>
      <c r="E70" s="15">
        <v>1.98121E-4</v>
      </c>
      <c r="F70" s="15">
        <v>1.8149600000000001E-4</v>
      </c>
      <c r="G70" s="15">
        <v>1.66229E-4</v>
      </c>
      <c r="H70" s="15">
        <v>1.53039E-4</v>
      </c>
      <c r="I70" s="15">
        <v>1.4246899999999999E-4</v>
      </c>
      <c r="J70" s="15">
        <v>1.3499000000000001E-4</v>
      </c>
      <c r="K70" s="15">
        <v>1.3103799999999999E-4</v>
      </c>
      <c r="L70" s="2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35">
      <c r="A71" t="str">
        <f>'wat types'!$A$7</f>
        <v>ch2o(aq)</v>
      </c>
      <c r="B71" s="15">
        <v>3.1724999999999999E-4</v>
      </c>
      <c r="C71" s="15">
        <v>2.6399000000000003E-4</v>
      </c>
      <c r="D71" s="15">
        <v>2.28383E-4</v>
      </c>
      <c r="E71" s="15">
        <v>2.0163399999999999E-4</v>
      </c>
      <c r="F71" s="15">
        <v>1.80082E-4</v>
      </c>
      <c r="G71" s="15">
        <v>1.62263E-4</v>
      </c>
      <c r="H71" s="15">
        <v>1.47699E-4</v>
      </c>
      <c r="I71" s="15">
        <v>1.3637E-4</v>
      </c>
      <c r="J71" s="15">
        <v>1.28479E-4</v>
      </c>
      <c r="K71" s="15">
        <v>1.24342E-4</v>
      </c>
      <c r="L71" s="2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35">
      <c r="A72" t="str">
        <f>'wat types'!$A$8</f>
        <v>hco3-</v>
      </c>
      <c r="B72" s="15">
        <v>1.4917800000000001E-3</v>
      </c>
      <c r="C72" s="15">
        <v>1.4773500000000001E-3</v>
      </c>
      <c r="D72" s="15">
        <v>1.44823E-3</v>
      </c>
      <c r="E72" s="15">
        <v>1.4142899999999999E-3</v>
      </c>
      <c r="F72" s="15">
        <v>1.3802899999999999E-3</v>
      </c>
      <c r="G72" s="15">
        <v>1.34884E-3</v>
      </c>
      <c r="H72" s="15">
        <v>1.3215600000000001E-3</v>
      </c>
      <c r="I72" s="15">
        <v>1.2996699999999999E-3</v>
      </c>
      <c r="J72" s="15">
        <v>1.2841599999999999E-3</v>
      </c>
      <c r="K72" s="15">
        <v>1.27596E-3</v>
      </c>
      <c r="L72" s="24"/>
    </row>
    <row r="73" spans="1:32" x14ac:dyDescent="0.35">
      <c r="A73" t="str">
        <f>'wat types'!$A$9</f>
        <v>o2(aq)</v>
      </c>
      <c r="B73" s="15">
        <v>6.5629499999999999E-8</v>
      </c>
      <c r="C73" s="15">
        <v>1.8204799999999999E-8</v>
      </c>
      <c r="D73" s="15">
        <v>5.0265800000000002E-9</v>
      </c>
      <c r="E73" s="15">
        <v>1.3769999999999999E-9</v>
      </c>
      <c r="F73" s="15">
        <v>3.7511399999999999E-10</v>
      </c>
      <c r="G73" s="15">
        <v>1.01686E-10</v>
      </c>
      <c r="H73" s="15">
        <v>2.7381799999999999E-11</v>
      </c>
      <c r="I73" s="15">
        <v>7.2989299999999995E-12</v>
      </c>
      <c r="J73" s="15">
        <v>1.9346699999999999E-12</v>
      </c>
      <c r="K73" s="15">
        <v>5.9635500000000004E-13</v>
      </c>
      <c r="L73" s="2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35">
      <c r="A74" t="str">
        <f>'wat types'!$A$10</f>
        <v>co3-2</v>
      </c>
      <c r="B74" s="15">
        <v>2.7897099999999998E-10</v>
      </c>
      <c r="C74" s="15">
        <v>2.94781E-10</v>
      </c>
      <c r="D74" s="15">
        <v>3.1314600000000002E-10</v>
      </c>
      <c r="E74" s="15">
        <v>3.34068E-10</v>
      </c>
      <c r="F74" s="15">
        <v>3.57318E-10</v>
      </c>
      <c r="G74" s="15">
        <v>3.82256E-10</v>
      </c>
      <c r="H74" s="15">
        <v>4.0759599999999999E-10</v>
      </c>
      <c r="I74" s="15">
        <v>4.3121299999999998E-10</v>
      </c>
      <c r="J74" s="15">
        <v>4.5014399999999999E-10</v>
      </c>
      <c r="K74" s="15">
        <v>4.6101999999999998E-10</v>
      </c>
      <c r="L74" s="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35">
      <c r="A75" s="2" t="s">
        <v>26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35">
      <c r="A76" t="s">
        <v>27</v>
      </c>
      <c r="B76" s="15">
        <v>-7.8398999999999993E-6</v>
      </c>
      <c r="C76" s="15">
        <v>-1.8854800000000001E-6</v>
      </c>
      <c r="D76" s="15">
        <v>-4.6157999999999998E-7</v>
      </c>
      <c r="E76" s="15">
        <v>-1.1358300000000001E-7</v>
      </c>
      <c r="F76" s="15">
        <v>-2.8086399999999999E-8</v>
      </c>
      <c r="G76" s="15">
        <v>-7.0474200000000001E-9</v>
      </c>
      <c r="H76" s="15">
        <v>-1.8495000000000001E-9</v>
      </c>
      <c r="I76" s="15">
        <v>-5.3607500000000003E-10</v>
      </c>
      <c r="J76" s="15">
        <v>-1.7548700000000001E-10</v>
      </c>
      <c r="K76" s="32">
        <v>-6.7426300000000003E-11</v>
      </c>
      <c r="L76" s="20">
        <f>ABS(1-B67*B74/(B72*chem!$L$29))</f>
        <v>1.9769946895120682E-6</v>
      </c>
      <c r="M76" s="20">
        <f>ABS(1-C67*C74/(C72*chem!$L$29))</f>
        <v>8.4239029751742578E-7</v>
      </c>
      <c r="N76" s="20">
        <f>ABS(1-D67*D74/(D72*chem!$L$29))</f>
        <v>2.5003260453182463E-6</v>
      </c>
      <c r="O76" s="20">
        <f>ABS(1-E67*E74/(E72*chem!$L$29))</f>
        <v>2.0572618205649817E-6</v>
      </c>
      <c r="P76" s="20">
        <f>ABS(1-F67*F74/(F72*chem!$L$29))</f>
        <v>9.1589225337251889E-7</v>
      </c>
      <c r="Q76" s="20">
        <f>ABS(1-G67*G74/(G72*chem!$L$29))</f>
        <v>5.8744913788988384E-7</v>
      </c>
      <c r="R76" s="20">
        <f>ABS(1-H67*H74/(H72*chem!$L$29))</f>
        <v>1.9645899242970444E-6</v>
      </c>
      <c r="S76" s="20">
        <f>ABS(1-I67*I74/(I72*chem!$L$29))</f>
        <v>5.5807452093992183E-6</v>
      </c>
      <c r="T76" s="20">
        <f>ABS(1-J67*J74/(J72*chem!$L$29))</f>
        <v>4.1939386877798412E-6</v>
      </c>
      <c r="U76" s="20">
        <f>ABS(1-K67*K74/(K72*chem!$L$29))</f>
        <v>2.0564811111789538E-6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35">
      <c r="A77" s="2" t="s">
        <v>25</v>
      </c>
      <c r="B77" s="15"/>
      <c r="C77" s="15"/>
      <c r="D77" s="15"/>
      <c r="E77" s="15"/>
      <c r="F77" s="15"/>
      <c r="G77" s="15"/>
      <c r="H77" s="15"/>
      <c r="I77" s="15"/>
      <c r="J77" s="15"/>
      <c r="K77" s="32"/>
      <c r="L77" s="3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x14ac:dyDescent="0.35">
      <c r="A78" t="s">
        <v>28</v>
      </c>
      <c r="B78" s="15">
        <v>7.8516600000000001E-4</v>
      </c>
      <c r="C78" s="15">
        <v>1.8976299999999999E-4</v>
      </c>
      <c r="D78" s="15">
        <v>4.6703999999999999E-5</v>
      </c>
      <c r="E78" s="15">
        <v>1.1551499999999999E-5</v>
      </c>
      <c r="F78" s="15">
        <v>2.8620400000000001E-6</v>
      </c>
      <c r="G78" s="15">
        <v>7.0981000000000003E-7</v>
      </c>
      <c r="H78" s="15">
        <v>1.7618899999999999E-7</v>
      </c>
      <c r="I78" s="15">
        <v>4.3795500000000003E-8</v>
      </c>
      <c r="J78" s="15">
        <v>1.10133E-8</v>
      </c>
      <c r="K78" s="32">
        <v>3.2975699999999998E-9</v>
      </c>
      <c r="L78" s="27">
        <f>ABS(B78-chem!$E$5*B71*B73/((chem!$G$5+B71)*(chem!$I$5+B73)))</f>
        <v>1.7659821229063649E-10</v>
      </c>
      <c r="M78" s="27">
        <f>ABS(C78-chem!$E$5*C71*C73/((chem!$G$5+C71)*(chem!$I$5+C73)))</f>
        <v>7.3793038040249719E-10</v>
      </c>
      <c r="N78" s="27">
        <f>ABS(D78-chem!$E$5*D71*D73/((chem!$G$5+D71)*(chem!$I$5+D73)))</f>
        <v>2.7408176782024816E-11</v>
      </c>
      <c r="O78" s="27">
        <f>ABS(E78-chem!$E$5*E71*E73/((chem!$G$5+E71)*(chem!$I$5+E73)))</f>
        <v>7.1243140630533499E-11</v>
      </c>
      <c r="P78" s="27">
        <f>ABS(F78-chem!$E$5*F71*F73/((chem!$G$5+F71)*(chem!$I$5+F73)))</f>
        <v>3.9084407677703493E-12</v>
      </c>
      <c r="Q78" s="27">
        <f>ABS(G78-chem!$E$5*G71*G73/((chem!$G$5+G71)*(chem!$I$5+G73)))</f>
        <v>4.4574795457654983E-13</v>
      </c>
      <c r="R78" s="27">
        <f>ABS(H78-chem!$E$5*H71*H73/((chem!$G$5+H71)*(chem!$I$5+H73)))</f>
        <v>6.3701746768009963E-13</v>
      </c>
      <c r="S78" s="27">
        <f>ABS(I78-chem!$E$5*I71*I73/((chem!$G$5+I71)*(chem!$I$5+I73)))</f>
        <v>1.5351963613711385E-13</v>
      </c>
      <c r="T78" s="27">
        <f>ABS(J78-chem!$E$5*J71*J73/((chem!$G$5+J71)*(chem!$I$5+J73)))</f>
        <v>5.0358624858725199E-14</v>
      </c>
      <c r="U78" s="27">
        <f>ABS(K78-chem!$E$5*K71*K73/((chem!$G$5+K71)*(chem!$I$5+K73)))</f>
        <v>1.7792233254523927E-15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35">
      <c r="A79" t="s">
        <v>29</v>
      </c>
      <c r="B79" s="15">
        <v>2.94297E-3</v>
      </c>
      <c r="C79" s="15">
        <v>1.2124E-3</v>
      </c>
      <c r="D79" s="15">
        <v>5.2739799999999999E-4</v>
      </c>
      <c r="E79" s="15">
        <v>2.3907600000000001E-4</v>
      </c>
      <c r="F79" s="15">
        <v>1.12317E-4</v>
      </c>
      <c r="G79" s="15">
        <v>5.4633999999999999E-5</v>
      </c>
      <c r="H79" s="15">
        <v>2.7622300000000001E-5</v>
      </c>
      <c r="I79" s="15">
        <v>1.47217E-5</v>
      </c>
      <c r="J79" s="15">
        <v>8.6240799999999996E-6</v>
      </c>
      <c r="K79" s="33">
        <v>6.1441600000000001E-6</v>
      </c>
      <c r="L79" s="29">
        <f>ABS(B79-chem!$E$6*B71*B69*chem!$K$6/((chem!$G$6+B71)*(chem!$I$6+B69)*(chem!$K$6+results!B73)))</f>
        <v>8.0407458989684155E-10</v>
      </c>
      <c r="M79" s="29">
        <f>ABS(C79-chem!$E$6*C71*C69*chem!$K$6/((chem!$G$6+C71)*(chem!$I$6+C69)*(chem!$K$6+results!C73)))</f>
        <v>5.6859889155987803E-9</v>
      </c>
      <c r="N79" s="29">
        <f>ABS(D79-chem!$E$6*D71*D69*chem!$K$6/((chem!$G$6+D71)*(chem!$I$6+D69)*(chem!$K$6+results!D73)))</f>
        <v>1.2544425112386015E-9</v>
      </c>
      <c r="O79" s="29">
        <f>ABS(E79-chem!$E$6*E71*E69*chem!$K$6/((chem!$G$6+E71)*(chem!$I$6+E69)*(chem!$K$6+results!E73)))</f>
        <v>1.2804446744433054E-10</v>
      </c>
      <c r="P79" s="29">
        <f>ABS(F79-chem!$E$6*F71*F69*chem!$K$6/((chem!$G$6+F71)*(chem!$I$6+F69)*(chem!$K$6+results!F73)))</f>
        <v>2.2826439076049053E-11</v>
      </c>
      <c r="Q79" s="29">
        <f>ABS(G79-chem!$E$6*G71*G69*chem!$K$6/((chem!$G$6+G71)*(chem!$I$6+G69)*(chem!$K$6+results!G73)))</f>
        <v>1.051874231502146E-10</v>
      </c>
      <c r="R79" s="29">
        <f>ABS(H79-chem!$E$6*H71*H69*chem!$K$6/((chem!$G$6+H71)*(chem!$I$6+H69)*(chem!$K$6+results!H73)))</f>
        <v>2.0829115145724105E-11</v>
      </c>
      <c r="S79" s="29">
        <f>ABS(I79-chem!$E$6*I71*I69*chem!$K$6/((chem!$G$6+I71)*(chem!$I$6+I69)*(chem!$K$6+results!I73)))</f>
        <v>3.4588025960396161E-11</v>
      </c>
      <c r="T79" s="29">
        <f>ABS(J79-chem!$E$6*J71*J69*chem!$K$6/((chem!$G$6+J71)*(chem!$I$6+J69)*(chem!$K$6+results!J73)))</f>
        <v>1.4071552098518969E-11</v>
      </c>
      <c r="U79" s="29">
        <f>ABS(K79-chem!$E$6*K71*K69*chem!$K$6/((chem!$G$6+K71)*(chem!$I$6+K69)*(chem!$K$6+results!K73)))</f>
        <v>1.23307082606209E-12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s="18" customFormat="1" x14ac:dyDescent="0.35">
      <c r="A80" s="16" t="s">
        <v>42</v>
      </c>
      <c r="B80" s="63" t="s">
        <v>86</v>
      </c>
      <c r="C80" s="63"/>
      <c r="D80" s="63"/>
      <c r="E80" s="63"/>
      <c r="F80" s="63"/>
      <c r="G80" s="63"/>
      <c r="H80" s="63"/>
      <c r="I80" s="63"/>
      <c r="J80" s="63"/>
      <c r="K80" s="63"/>
      <c r="L80" s="28" t="s">
        <v>66</v>
      </c>
    </row>
    <row r="81" spans="1:32" x14ac:dyDescent="0.35">
      <c r="A81" t="str">
        <f>'wat types'!$A$2</f>
        <v xml:space="preserve">h2o(p)         </v>
      </c>
      <c r="B81" s="39">
        <v>55.555599999999998</v>
      </c>
      <c r="C81" s="39">
        <v>55.555599999999998</v>
      </c>
      <c r="D81" s="39">
        <v>55.555599999999998</v>
      </c>
      <c r="E81" s="39">
        <v>55.555599999999998</v>
      </c>
      <c r="F81" s="39">
        <v>55.555599999999998</v>
      </c>
      <c r="G81" s="39">
        <v>55.555599999999998</v>
      </c>
      <c r="H81" s="39">
        <v>55.555599999999998</v>
      </c>
      <c r="I81" s="39">
        <v>55.555599999999998</v>
      </c>
      <c r="J81" s="39">
        <v>55.555599999999998</v>
      </c>
      <c r="K81" s="39">
        <v>55.555599999999998</v>
      </c>
      <c r="L81" s="24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35">
      <c r="A82" t="str">
        <f>'wat types'!$A$3</f>
        <v>h+</v>
      </c>
      <c r="B82" s="39">
        <v>4.5505200000000001E-4</v>
      </c>
      <c r="C82" s="39">
        <v>4.5691299999999998E-4</v>
      </c>
      <c r="D82" s="39">
        <v>4.5575200000000002E-4</v>
      </c>
      <c r="E82" s="39">
        <v>4.5352100000000002E-4</v>
      </c>
      <c r="F82" s="39">
        <v>4.5103100000000001E-4</v>
      </c>
      <c r="G82" s="39">
        <v>4.4864500000000001E-4</v>
      </c>
      <c r="H82" s="39">
        <v>4.4654900000000002E-4</v>
      </c>
      <c r="I82" s="39">
        <v>4.4485599999999998E-4</v>
      </c>
      <c r="J82" s="39">
        <v>4.4365300000000002E-4</v>
      </c>
      <c r="K82" s="39">
        <v>4.4301600000000002E-4</v>
      </c>
      <c r="L82" s="43"/>
      <c r="M82" s="39"/>
      <c r="N82" s="39"/>
      <c r="O82" s="39"/>
      <c r="P82" s="39"/>
      <c r="Q82" s="39"/>
      <c r="R82" s="39"/>
      <c r="S82" s="20"/>
      <c r="T82" s="20"/>
      <c r="U82" s="20"/>
      <c r="V82" s="20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35">
      <c r="A83" t="str">
        <f>'wat types'!$A$4</f>
        <v>cl-</v>
      </c>
      <c r="B83" s="39">
        <v>9.2641000000000002E-4</v>
      </c>
      <c r="C83" s="39">
        <v>9.1956999999999998E-4</v>
      </c>
      <c r="D83" s="39">
        <v>9.1300099999999998E-4</v>
      </c>
      <c r="E83" s="39">
        <v>9.06812E-4</v>
      </c>
      <c r="F83" s="39">
        <v>9.0111900000000003E-4</v>
      </c>
      <c r="G83" s="39">
        <v>8.9604500000000004E-4</v>
      </c>
      <c r="H83" s="39">
        <v>8.9171699999999999E-4</v>
      </c>
      <c r="I83" s="39">
        <v>8.88268E-4</v>
      </c>
      <c r="J83" s="39">
        <v>8.8583100000000001E-4</v>
      </c>
      <c r="K83" s="39">
        <v>8.8454500000000004E-4</v>
      </c>
      <c r="L83" s="2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35">
      <c r="A84" t="str">
        <f>'wat types'!$A$5</f>
        <v>no3-</v>
      </c>
      <c r="B84" s="39">
        <v>3.4959100000000002E-5</v>
      </c>
      <c r="C84" s="39">
        <v>1.40518E-5</v>
      </c>
      <c r="D84" s="39">
        <v>5.6646900000000003E-6</v>
      </c>
      <c r="E84" s="39">
        <v>2.2852900000000001E-6</v>
      </c>
      <c r="F84" s="39">
        <v>9.2259800000000001E-7</v>
      </c>
      <c r="G84" s="39">
        <v>3.7278700000000001E-7</v>
      </c>
      <c r="H84" s="39">
        <v>1.5085300000000001E-7</v>
      </c>
      <c r="I84" s="39">
        <v>6.1408200000000001E-8</v>
      </c>
      <c r="J84" s="39">
        <v>2.5913100000000001E-8</v>
      </c>
      <c r="K84" s="39">
        <v>1.34047E-8</v>
      </c>
      <c r="L84" s="2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35">
      <c r="A85" t="str">
        <f>'wat types'!$A$6</f>
        <v>n2(aq)(p)</v>
      </c>
      <c r="B85" s="39">
        <v>4.46093E-4</v>
      </c>
      <c r="C85" s="39">
        <v>4.5316099999999999E-4</v>
      </c>
      <c r="D85" s="39">
        <v>4.5410300000000003E-4</v>
      </c>
      <c r="E85" s="39">
        <v>4.5272900000000002E-4</v>
      </c>
      <c r="F85" s="39">
        <v>4.50593E-4</v>
      </c>
      <c r="G85" s="39">
        <v>4.4835600000000001E-4</v>
      </c>
      <c r="H85" s="39">
        <v>4.4632500000000002E-4</v>
      </c>
      <c r="I85" s="39">
        <v>4.4466200000000002E-4</v>
      </c>
      <c r="J85" s="39">
        <v>4.43473E-4</v>
      </c>
      <c r="K85" s="39">
        <v>4.42843E-4</v>
      </c>
      <c r="L85" s="2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35">
      <c r="A86" t="str">
        <f>'wat types'!$A$7</f>
        <v>ch2o(aq)</v>
      </c>
      <c r="B86" s="39">
        <v>5.0396299999999996E-4</v>
      </c>
      <c r="C86" s="39">
        <v>4.7437E-4</v>
      </c>
      <c r="D86" s="39">
        <v>4.6058900000000002E-4</v>
      </c>
      <c r="E86" s="39">
        <v>4.5326399999999999E-4</v>
      </c>
      <c r="F86" s="39">
        <v>4.4871100000000002E-4</v>
      </c>
      <c r="G86" s="39">
        <v>4.4548400000000001E-4</v>
      </c>
      <c r="H86" s="39">
        <v>4.4304000000000001E-4</v>
      </c>
      <c r="I86" s="39">
        <v>4.4120200000000002E-4</v>
      </c>
      <c r="J86" s="39">
        <v>4.3993800000000002E-4</v>
      </c>
      <c r="K86" s="39">
        <v>4.3927799999999998E-4</v>
      </c>
      <c r="L86" s="2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35">
      <c r="A87" t="str">
        <f>'wat types'!$A$8</f>
        <v>hco3-</v>
      </c>
      <c r="B87" s="39">
        <v>1.9235999999999999E-3</v>
      </c>
      <c r="C87" s="39">
        <v>1.9427299999999999E-3</v>
      </c>
      <c r="D87" s="39">
        <v>1.9464599999999999E-3</v>
      </c>
      <c r="E87" s="39">
        <v>1.94432E-3</v>
      </c>
      <c r="F87" s="39">
        <v>1.94017E-3</v>
      </c>
      <c r="G87" s="39">
        <v>1.93563E-3</v>
      </c>
      <c r="H87" s="39">
        <v>1.9314600000000001E-3</v>
      </c>
      <c r="I87" s="39">
        <v>1.9280199999999999E-3</v>
      </c>
      <c r="J87" s="39">
        <v>1.92555E-3</v>
      </c>
      <c r="K87" s="39">
        <v>1.92425E-3</v>
      </c>
      <c r="L87" s="24"/>
    </row>
    <row r="88" spans="1:32" x14ac:dyDescent="0.35">
      <c r="A88" t="str">
        <f>'wat types'!$A$9</f>
        <v>o2(aq)</v>
      </c>
      <c r="B88" s="39">
        <v>4.7104000000000003E-8</v>
      </c>
      <c r="C88" s="39">
        <v>1.18008E-8</v>
      </c>
      <c r="D88" s="39">
        <v>2.9555E-9</v>
      </c>
      <c r="E88" s="39">
        <v>7.3715700000000004E-10</v>
      </c>
      <c r="F88" s="39">
        <v>1.8334699999999999E-10</v>
      </c>
      <c r="G88" s="39">
        <v>4.55278E-11</v>
      </c>
      <c r="H88" s="39">
        <v>1.1293300000000001E-11</v>
      </c>
      <c r="I88" s="39">
        <v>2.8005100000000002E-12</v>
      </c>
      <c r="J88" s="39">
        <v>7.0127099999999997E-13</v>
      </c>
      <c r="K88" s="39">
        <v>2.0859E-13</v>
      </c>
      <c r="L88" s="2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35">
      <c r="A89" t="str">
        <f>'wat types'!$A$10</f>
        <v>co3-2</v>
      </c>
      <c r="B89" s="39">
        <v>1.9826800000000001E-10</v>
      </c>
      <c r="C89" s="39">
        <v>1.9942500000000001E-10</v>
      </c>
      <c r="D89" s="39">
        <v>2.0031700000000001E-10</v>
      </c>
      <c r="E89" s="39">
        <v>2.01081E-10</v>
      </c>
      <c r="F89" s="39">
        <v>2.01759E-10</v>
      </c>
      <c r="G89" s="39">
        <v>2.02358E-10</v>
      </c>
      <c r="H89" s="39">
        <v>2.0286900000000001E-10</v>
      </c>
      <c r="I89" s="39">
        <v>2.0327900000000001E-10</v>
      </c>
      <c r="J89" s="39">
        <v>2.0356899999999999E-10</v>
      </c>
      <c r="K89" s="39">
        <v>2.03724E-10</v>
      </c>
      <c r="L89" s="2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35">
      <c r="A90" s="2" t="s">
        <v>26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35">
      <c r="A91" t="s">
        <v>27</v>
      </c>
      <c r="B91" s="38">
        <v>-7.83962E-6</v>
      </c>
      <c r="C91" s="38">
        <v>-1.8853E-6</v>
      </c>
      <c r="D91" s="38">
        <v>-4.6141E-7</v>
      </c>
      <c r="E91" s="38">
        <v>-1.13406E-7</v>
      </c>
      <c r="F91" s="38">
        <v>-2.7901899999999999E-8</v>
      </c>
      <c r="G91" s="38">
        <v>-6.8666800000000001E-9</v>
      </c>
      <c r="H91" s="38">
        <v>-1.6901E-9</v>
      </c>
      <c r="I91" s="38">
        <v>-4.1626099999999998E-10</v>
      </c>
      <c r="J91" s="38">
        <v>-1.03613E-10</v>
      </c>
      <c r="K91" s="54">
        <v>-3.0649000000000003E-11</v>
      </c>
      <c r="L91" s="20">
        <f>ABS(1-B82*B89/(B87*chem!$L$29))</f>
        <v>2.5678318975597136E-6</v>
      </c>
      <c r="M91" s="20">
        <f>ABS(1-C82*C89/(C87*chem!$L$29))</f>
        <v>1.5398156469892399E-6</v>
      </c>
      <c r="N91" s="20">
        <f>ABS(1-D82*D89/(D87*chem!$L$29))</f>
        <v>2.0891369827413797E-6</v>
      </c>
      <c r="O91" s="20">
        <f>ABS(1-E82*E89/(E87*chem!$L$29))</f>
        <v>1.5990073956029249E-6</v>
      </c>
      <c r="P91" s="20">
        <f>ABS(1-F82*F89/(F87*chem!$L$29))</f>
        <v>1.0953923484935402E-6</v>
      </c>
      <c r="Q91" s="20">
        <f>ABS(1-G82*G89/(G87*chem!$L$29))</f>
        <v>1.9938571822475382E-6</v>
      </c>
      <c r="R91" s="20">
        <f>ABS(1-H82*H89/(H87*chem!$L$29))</f>
        <v>2.0927355149913396E-6</v>
      </c>
      <c r="S91" s="20">
        <f>ABS(1-I82*I89/(I87*chem!$L$29))</f>
        <v>9.9799718489279599E-7</v>
      </c>
      <c r="T91" s="20">
        <f>ABS(1-J82*J89/(J87*chem!$L$29))</f>
        <v>6.1148692265255988E-7</v>
      </c>
      <c r="U91" s="20">
        <f>ABS(1-K82*K89/(K87*chem!$L$29))</f>
        <v>2.5556486193956118E-7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35">
      <c r="A92" s="2" t="s">
        <v>25</v>
      </c>
      <c r="B92" s="38"/>
      <c r="C92" s="38"/>
      <c r="D92" s="38"/>
      <c r="E92" s="38"/>
      <c r="F92" s="38"/>
      <c r="G92" s="38"/>
      <c r="H92" s="38"/>
      <c r="I92" s="38"/>
      <c r="J92" s="38"/>
      <c r="K92" s="54"/>
      <c r="L92" s="3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35">
      <c r="A93" t="s">
        <v>28</v>
      </c>
      <c r="B93" s="38">
        <v>7.8550400000000002E-4</v>
      </c>
      <c r="C93" s="38">
        <v>1.89619E-4</v>
      </c>
      <c r="D93" s="38">
        <v>4.6586299999999998E-5</v>
      </c>
      <c r="E93" s="38">
        <v>1.1494900000000001E-5</v>
      </c>
      <c r="F93" s="38">
        <v>2.8393699999999999E-6</v>
      </c>
      <c r="G93" s="38">
        <v>7.0155799999999999E-7</v>
      </c>
      <c r="H93" s="38">
        <v>1.7336299999999999E-7</v>
      </c>
      <c r="I93" s="38">
        <v>4.28667E-8</v>
      </c>
      <c r="J93" s="38">
        <v>1.07128E-8</v>
      </c>
      <c r="K93" s="54">
        <v>3.1831500000000001E-9</v>
      </c>
      <c r="L93" s="27">
        <f>ABS(B93-chem!$E$5*B86*B88/((chem!$G$5+B86)*(chem!$I$5+B88)))</f>
        <v>9.9700117953127609E-12</v>
      </c>
      <c r="M93" s="27">
        <f>ABS(C93-chem!$E$5*C86*C88/((chem!$G$5+C86)*(chem!$I$5+C88)))</f>
        <v>8.1532021523164806E-10</v>
      </c>
      <c r="N93" s="27">
        <f>ABS(D93-chem!$E$5*D86*D88/((chem!$G$5+D86)*(chem!$I$5+D88)))</f>
        <v>5.5396909932545202E-12</v>
      </c>
      <c r="O93" s="27">
        <f>ABS(E93-chem!$E$5*E86*E88/((chem!$G$5+E86)*(chem!$I$5+E88)))</f>
        <v>1.3252730112121532E-11</v>
      </c>
      <c r="P93" s="27">
        <f>ABS(F93-chem!$E$5*F86*F88/((chem!$G$5+F86)*(chem!$I$5+F88)))</f>
        <v>7.7202815063699866E-12</v>
      </c>
      <c r="Q93" s="27">
        <f>ABS(G93-chem!$E$5*G86*G88/((chem!$G$5+G86)*(chem!$I$5+G88)))</f>
        <v>1.0947466992986248E-13</v>
      </c>
      <c r="R93" s="27">
        <f>ABS(H93-chem!$E$5*H86*H88/((chem!$G$5+H86)*(chem!$I$5+H88)))</f>
        <v>5.8518353115951536E-13</v>
      </c>
      <c r="S93" s="27">
        <f>ABS(I93-chem!$E$5*I86*I88/((chem!$G$5+I86)*(chem!$I$5+I88)))</f>
        <v>4.1925985731826831E-14</v>
      </c>
      <c r="T93" s="27">
        <f>ABS(J93-chem!$E$5*J86*J88/((chem!$G$5+J86)*(chem!$I$5+J88)))</f>
        <v>1.3314277624685801E-14</v>
      </c>
      <c r="U93" s="27">
        <f>ABS(K93-chem!$E$5*K86*K88/((chem!$G$5+K86)*(chem!$I$5+K88)))</f>
        <v>8.3651216356051307E-15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s="51" customFormat="1" x14ac:dyDescent="0.35">
      <c r="A94" s="51" t="s">
        <v>29</v>
      </c>
      <c r="B94" s="55">
        <v>3.1124500000000001E-3</v>
      </c>
      <c r="C94" s="55">
        <v>1.2020900000000001E-3</v>
      </c>
      <c r="D94" s="55">
        <v>4.74842E-4</v>
      </c>
      <c r="E94" s="55">
        <v>1.89388E-4</v>
      </c>
      <c r="F94" s="55">
        <v>7.5895699999999999E-5</v>
      </c>
      <c r="G94" s="55">
        <v>3.0502300000000001E-5</v>
      </c>
      <c r="H94" s="55">
        <v>1.2292200000000001E-5</v>
      </c>
      <c r="I94" s="55">
        <v>4.9880999999999997E-6</v>
      </c>
      <c r="J94" s="55">
        <v>2.1003099999999999E-6</v>
      </c>
      <c r="K94" s="56">
        <v>1.08524E-6</v>
      </c>
      <c r="L94" s="29">
        <f>ABS(B94-chem!$E$6*B86*B84*chem!$K$6/((chem!$G$6+B86)*(chem!$I$6+B84)*(chem!$K$6+results!B88)))</f>
        <v>5.4096804674719223E-9</v>
      </c>
      <c r="M94" s="29">
        <f>ABS(C94-chem!$E$6*C86*C84*chem!$K$6/((chem!$G$6+C86)*(chem!$I$6+C84)*(chem!$K$6+results!C88)))</f>
        <v>4.3959281776761311E-9</v>
      </c>
      <c r="N94" s="29">
        <f>ABS(D94-chem!$E$6*D86*D84*chem!$K$6/((chem!$G$6+D86)*(chem!$I$6+D84)*(chem!$K$6+results!D88)))</f>
        <v>4.5265586694513346E-10</v>
      </c>
      <c r="O94" s="29">
        <f>ABS(E94-chem!$E$6*E86*E84*chem!$K$6/((chem!$G$6+E86)*(chem!$I$6+E84)*(chem!$K$6+results!E88)))</f>
        <v>4.6576235408638325E-11</v>
      </c>
      <c r="P94" s="29">
        <f>ABS(F94-chem!$E$6*F86*F84*chem!$K$6/((chem!$G$6+F86)*(chem!$I$6+F84)*(chem!$K$6+results!F88)))</f>
        <v>9.3205962018545405E-12</v>
      </c>
      <c r="Q94" s="29">
        <f>ABS(G94-chem!$E$6*G86*G84*chem!$K$6/((chem!$G$6+G86)*(chem!$I$6+G84)*(chem!$K$6+results!G88)))</f>
        <v>1.7082182443193226E-11</v>
      </c>
      <c r="R94" s="29">
        <f>ABS(H94-chem!$E$6*H86*H84*chem!$K$6/((chem!$G$6+H86)*(chem!$I$6+H84)*(chem!$K$6+results!H88)))</f>
        <v>2.2745474440757202E-11</v>
      </c>
      <c r="S94" s="29">
        <f>ABS(I94-chem!$E$6*I86*I84*chem!$K$6/((chem!$G$6+I86)*(chem!$I$6+I84)*(chem!$K$6+results!I88)))</f>
        <v>7.6500750882102227E-12</v>
      </c>
      <c r="T94" s="29">
        <f>ABS(J94-chem!$E$6*J86*J84*chem!$K$6/((chem!$G$6+J86)*(chem!$I$6+J84)*(chem!$K$6+results!J88)))</f>
        <v>1.5600016023159958E-12</v>
      </c>
      <c r="U94" s="29">
        <f>ABS(K94-chem!$E$6*K86*K84*chem!$K$6/((chem!$G$6+K86)*(chem!$I$6+K84)*(chem!$K$6+results!K88)))</f>
        <v>9.4219804903752956E-13</v>
      </c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</row>
  </sheetData>
  <mergeCells count="6">
    <mergeCell ref="B80:K80"/>
    <mergeCell ref="B5:K5"/>
    <mergeCell ref="B20:K20"/>
    <mergeCell ref="B35:K35"/>
    <mergeCell ref="B50:K50"/>
    <mergeCell ref="B65:K65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8477-0632-4CB7-8BDC-B80A582AAF78}">
  <dimension ref="A1"/>
  <sheetViews>
    <sheetView zoomScaleNormal="100" workbookViewId="0">
      <selection activeCell="J33" sqref="J3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transport</vt:lpstr>
      <vt:lpstr>lambdas</vt:lpstr>
      <vt:lpstr>chem</vt:lpstr>
      <vt:lpstr>wat types</vt:lpstr>
      <vt:lpstr>results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user2319</dc:creator>
  <cp:lastModifiedBy>luiggi</cp:lastModifiedBy>
  <dcterms:created xsi:type="dcterms:W3CDTF">2024-09-23T10:10:27Z</dcterms:created>
  <dcterms:modified xsi:type="dcterms:W3CDTF">2026-06-15T21:59:34Z</dcterms:modified>
</cp:coreProperties>
</file>