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6d5b23d2623be16/Documentos/IDAEA/proyectos/mexicanos/"/>
    </mc:Choice>
  </mc:AlternateContent>
  <xr:revisionPtr revIDLastSave="903" documentId="13_ncr:1_{9AA4B2C5-F769-4931-8CB5-AA8857D8B4A8}" xr6:coauthVersionLast="47" xr6:coauthVersionMax="47" xr10:uidLastSave="{8A8B14C0-19F7-4F80-A4E8-6984389BDB75}"/>
  <bookViews>
    <workbookView xWindow="28680" yWindow="-120" windowWidth="29040" windowHeight="15720" activeTab="3" xr2:uid="{8912D97B-20A6-4C0E-B69A-E7A3C8210E86}"/>
  </bookViews>
  <sheets>
    <sheet name="README" sheetId="6" r:id="rId1"/>
    <sheet name="transport" sheetId="1" r:id="rId2"/>
    <sheet name="lambdas" sheetId="9" r:id="rId3"/>
    <sheet name="chem" sheetId="7" r:id="rId4"/>
    <sheet name="wat types" sheetId="8" r:id="rId5"/>
    <sheet name="results" sheetId="3" r:id="rId6"/>
    <sheet name="figures" sheetId="4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51" i="7" l="1"/>
  <c r="C50" i="7"/>
  <c r="C49" i="7"/>
  <c r="C48" i="7"/>
  <c r="C47" i="7"/>
  <c r="C46" i="7"/>
  <c r="C45" i="7"/>
  <c r="M1" i="7"/>
  <c r="L1" i="7"/>
  <c r="K1" i="7"/>
  <c r="J1" i="7"/>
  <c r="I1" i="7"/>
  <c r="H1" i="7"/>
  <c r="G1" i="7"/>
  <c r="F1" i="7"/>
  <c r="E1" i="7"/>
  <c r="I30" i="7"/>
  <c r="J30" i="7"/>
  <c r="L37" i="3"/>
  <c r="L20" i="3"/>
  <c r="N1" i="7"/>
  <c r="K30" i="7"/>
  <c r="H30" i="7"/>
  <c r="G30" i="7"/>
  <c r="F30" i="7"/>
  <c r="E30" i="7"/>
  <c r="D30" i="7"/>
  <c r="C30" i="7"/>
  <c r="B12" i="7"/>
  <c r="B11" i="7"/>
  <c r="B10" i="7"/>
  <c r="B9" i="7"/>
  <c r="B8" i="7"/>
  <c r="B7" i="7"/>
  <c r="B6" i="7"/>
  <c r="B5" i="7"/>
  <c r="B4" i="7"/>
  <c r="B3" i="7"/>
  <c r="E4" i="1"/>
  <c r="E3" i="1"/>
  <c r="M37" i="3"/>
  <c r="Q37" i="3"/>
  <c r="Q20" i="3"/>
  <c r="P37" i="3"/>
  <c r="O37" i="3"/>
  <c r="N37" i="3"/>
  <c r="P20" i="3"/>
  <c r="O20" i="3"/>
  <c r="N20" i="3"/>
  <c r="M20" i="3"/>
  <c r="L5" i="1"/>
  <c r="L4" i="1"/>
  <c r="P3" i="1"/>
  <c r="P2" i="1"/>
  <c r="P1" i="1"/>
  <c r="L2" i="1"/>
  <c r="L3" i="1" s="1"/>
  <c r="L1" i="1"/>
  <c r="H4" i="1"/>
  <c r="L31" i="3" l="1"/>
  <c r="L30" i="3"/>
  <c r="L102" i="3"/>
  <c r="L101" i="3"/>
  <c r="U102" i="3"/>
  <c r="T102" i="3"/>
  <c r="S102" i="3"/>
  <c r="R102" i="3"/>
  <c r="Q102" i="3"/>
  <c r="P102" i="3"/>
  <c r="O102" i="3"/>
  <c r="N102" i="3"/>
  <c r="M102" i="3"/>
  <c r="U101" i="3"/>
  <c r="T101" i="3"/>
  <c r="S101" i="3"/>
  <c r="R101" i="3"/>
  <c r="Q101" i="3"/>
  <c r="P101" i="3"/>
  <c r="O101" i="3"/>
  <c r="N101" i="3"/>
  <c r="M101" i="3"/>
  <c r="U99" i="3"/>
  <c r="T99" i="3"/>
  <c r="S99" i="3"/>
  <c r="R99" i="3"/>
  <c r="Q99" i="3"/>
  <c r="P99" i="3"/>
  <c r="O99" i="3"/>
  <c r="N99" i="3"/>
  <c r="M99" i="3"/>
  <c r="L99" i="3"/>
  <c r="U98" i="3"/>
  <c r="T98" i="3"/>
  <c r="S98" i="3"/>
  <c r="R98" i="3"/>
  <c r="Q98" i="3"/>
  <c r="P98" i="3"/>
  <c r="O98" i="3"/>
  <c r="N98" i="3"/>
  <c r="M98" i="3"/>
  <c r="L98" i="3"/>
  <c r="A96" i="3"/>
  <c r="A95" i="3"/>
  <c r="A94" i="3"/>
  <c r="A93" i="3"/>
  <c r="A92" i="3"/>
  <c r="A91" i="3"/>
  <c r="A90" i="3"/>
  <c r="A89" i="3"/>
  <c r="A88" i="3"/>
  <c r="A87" i="3"/>
  <c r="U85" i="3"/>
  <c r="T85" i="3"/>
  <c r="S85" i="3"/>
  <c r="R85" i="3"/>
  <c r="Q85" i="3"/>
  <c r="P85" i="3"/>
  <c r="O85" i="3"/>
  <c r="N85" i="3"/>
  <c r="M85" i="3"/>
  <c r="L85" i="3"/>
  <c r="U84" i="3"/>
  <c r="T84" i="3"/>
  <c r="S84" i="3"/>
  <c r="R84" i="3"/>
  <c r="Q84" i="3"/>
  <c r="P84" i="3"/>
  <c r="O84" i="3"/>
  <c r="N84" i="3"/>
  <c r="M84" i="3"/>
  <c r="L84" i="3"/>
  <c r="U82" i="3"/>
  <c r="T82" i="3"/>
  <c r="S82" i="3"/>
  <c r="R82" i="3"/>
  <c r="Q82" i="3"/>
  <c r="P82" i="3"/>
  <c r="O82" i="3"/>
  <c r="N82" i="3"/>
  <c r="M82" i="3"/>
  <c r="L82" i="3"/>
  <c r="U81" i="3"/>
  <c r="T81" i="3"/>
  <c r="S81" i="3"/>
  <c r="R81" i="3"/>
  <c r="Q81" i="3"/>
  <c r="P81" i="3"/>
  <c r="O81" i="3"/>
  <c r="N81" i="3"/>
  <c r="M81" i="3"/>
  <c r="L81" i="3"/>
  <c r="A79" i="3"/>
  <c r="A78" i="3"/>
  <c r="A77" i="3"/>
  <c r="A76" i="3"/>
  <c r="A75" i="3"/>
  <c r="A74" i="3"/>
  <c r="A73" i="3"/>
  <c r="A72" i="3"/>
  <c r="A71" i="3"/>
  <c r="A70" i="3"/>
  <c r="U68" i="3"/>
  <c r="T68" i="3"/>
  <c r="S68" i="3"/>
  <c r="R68" i="3"/>
  <c r="Q68" i="3"/>
  <c r="P68" i="3"/>
  <c r="O68" i="3"/>
  <c r="N68" i="3"/>
  <c r="M68" i="3"/>
  <c r="L68" i="3"/>
  <c r="U67" i="3"/>
  <c r="T67" i="3"/>
  <c r="S67" i="3"/>
  <c r="R67" i="3"/>
  <c r="Q67" i="3"/>
  <c r="P67" i="3"/>
  <c r="O67" i="3"/>
  <c r="N67" i="3"/>
  <c r="M67" i="3"/>
  <c r="L67" i="3"/>
  <c r="U65" i="3"/>
  <c r="T65" i="3"/>
  <c r="S65" i="3"/>
  <c r="R65" i="3"/>
  <c r="Q65" i="3"/>
  <c r="P65" i="3"/>
  <c r="O65" i="3"/>
  <c r="N65" i="3"/>
  <c r="M65" i="3"/>
  <c r="L65" i="3"/>
  <c r="U64" i="3"/>
  <c r="T64" i="3"/>
  <c r="S64" i="3"/>
  <c r="R64" i="3"/>
  <c r="Q64" i="3"/>
  <c r="P64" i="3"/>
  <c r="O64" i="3"/>
  <c r="N64" i="3"/>
  <c r="M64" i="3"/>
  <c r="L64" i="3"/>
  <c r="A62" i="3"/>
  <c r="A61" i="3"/>
  <c r="A60" i="3"/>
  <c r="A59" i="3"/>
  <c r="A58" i="3"/>
  <c r="A57" i="3"/>
  <c r="A56" i="3"/>
  <c r="A55" i="3"/>
  <c r="A54" i="3"/>
  <c r="A53" i="3"/>
  <c r="L51" i="3"/>
  <c r="L50" i="3"/>
  <c r="U51" i="3"/>
  <c r="T51" i="3"/>
  <c r="S51" i="3"/>
  <c r="R51" i="3"/>
  <c r="Q51" i="3"/>
  <c r="P51" i="3"/>
  <c r="O51" i="3"/>
  <c r="N51" i="3"/>
  <c r="M51" i="3"/>
  <c r="U50" i="3"/>
  <c r="T50" i="3"/>
  <c r="S50" i="3"/>
  <c r="R50" i="3"/>
  <c r="Q50" i="3"/>
  <c r="P50" i="3"/>
  <c r="O50" i="3"/>
  <c r="N50" i="3"/>
  <c r="M50" i="3"/>
  <c r="U48" i="3"/>
  <c r="T48" i="3"/>
  <c r="S48" i="3"/>
  <c r="R48" i="3"/>
  <c r="Q48" i="3"/>
  <c r="P48" i="3"/>
  <c r="O48" i="3"/>
  <c r="N48" i="3"/>
  <c r="M48" i="3"/>
  <c r="L48" i="3"/>
  <c r="U47" i="3"/>
  <c r="T47" i="3"/>
  <c r="S47" i="3"/>
  <c r="R47" i="3"/>
  <c r="Q47" i="3"/>
  <c r="P47" i="3"/>
  <c r="O47" i="3"/>
  <c r="N47" i="3"/>
  <c r="M47" i="3"/>
  <c r="L47" i="3"/>
  <c r="A45" i="3"/>
  <c r="A44" i="3"/>
  <c r="A43" i="3"/>
  <c r="A42" i="3"/>
  <c r="A41" i="3"/>
  <c r="A40" i="3"/>
  <c r="A39" i="3"/>
  <c r="A38" i="3"/>
  <c r="A37" i="3"/>
  <c r="A36" i="3"/>
  <c r="A28" i="3"/>
  <c r="A27" i="3"/>
  <c r="A26" i="3"/>
  <c r="A25" i="3"/>
  <c r="A24" i="3"/>
  <c r="A23" i="3"/>
  <c r="A22" i="3"/>
  <c r="A21" i="3"/>
  <c r="A20" i="3"/>
  <c r="A19" i="3"/>
  <c r="L33" i="3"/>
  <c r="N33" i="3"/>
  <c r="O33" i="3"/>
  <c r="P33" i="3"/>
  <c r="Q33" i="3"/>
  <c r="R33" i="3"/>
  <c r="S33" i="3"/>
  <c r="T33" i="3"/>
  <c r="U33" i="3"/>
  <c r="N34" i="3"/>
  <c r="O34" i="3"/>
  <c r="P34" i="3"/>
  <c r="Q34" i="3"/>
  <c r="R34" i="3"/>
  <c r="S34" i="3"/>
  <c r="T34" i="3"/>
  <c r="U34" i="3"/>
  <c r="M34" i="3"/>
  <c r="M33" i="3"/>
  <c r="L34" i="3"/>
  <c r="I4" i="1" l="1"/>
  <c r="C13" i="8"/>
  <c r="B14" i="8"/>
  <c r="B13" i="8"/>
  <c r="M31" i="3"/>
  <c r="H2" i="1"/>
  <c r="H1" i="1"/>
  <c r="M30" i="3"/>
  <c r="N30" i="3"/>
  <c r="O30" i="3"/>
  <c r="P30" i="3"/>
  <c r="Q30" i="3"/>
  <c r="R30" i="3"/>
  <c r="S30" i="3"/>
  <c r="T30" i="3"/>
  <c r="U30" i="3"/>
  <c r="N31" i="3"/>
  <c r="O31" i="3"/>
  <c r="P31" i="3"/>
  <c r="Q31" i="3"/>
  <c r="R31" i="3"/>
  <c r="S31" i="3"/>
  <c r="T31" i="3"/>
  <c r="U31" i="3"/>
  <c r="B15" i="8"/>
  <c r="A52" i="3"/>
  <c r="A69" i="3" s="1"/>
  <c r="A15" i="3"/>
  <c r="A14" i="3"/>
  <c r="A13" i="3"/>
  <c r="A12" i="3"/>
  <c r="A11" i="3"/>
  <c r="A10" i="3"/>
  <c r="A9" i="3"/>
  <c r="A8" i="3"/>
  <c r="A7" i="3"/>
  <c r="A6" i="3"/>
  <c r="A3" i="9"/>
  <c r="A4" i="9"/>
  <c r="A5" i="9"/>
  <c r="A6" i="9"/>
  <c r="A7" i="9"/>
  <c r="A8" i="9"/>
  <c r="A9" i="9"/>
  <c r="A10" i="9"/>
  <c r="A11" i="9"/>
  <c r="A2" i="9"/>
  <c r="B1" i="1"/>
  <c r="B6" i="1"/>
  <c r="H24" i="7" l="1"/>
  <c r="N32" i="7" s="1"/>
  <c r="H21" i="7"/>
  <c r="N31" i="7" s="1"/>
  <c r="H23" i="7"/>
  <c r="G23" i="7" s="1"/>
  <c r="H22" i="7"/>
  <c r="G22" i="7" s="1"/>
  <c r="G24" i="7" l="1"/>
  <c r="G21" i="7"/>
  <c r="D2" i="3" l="1"/>
  <c r="H2" i="3"/>
  <c r="B2" i="3"/>
  <c r="I2" i="3"/>
  <c r="E2" i="3"/>
  <c r="F2" i="3"/>
  <c r="J2" i="3"/>
  <c r="C2" i="3"/>
  <c r="G2" i="3"/>
  <c r="K2" i="3"/>
</calcChain>
</file>

<file path=xl/sharedStrings.xml><?xml version="1.0" encoding="utf-8"?>
<sst xmlns="http://schemas.openxmlformats.org/spreadsheetml/2006/main" count="162" uniqueCount="113">
  <si>
    <t>Delta_x</t>
  </si>
  <si>
    <t>Delta_t</t>
  </si>
  <si>
    <t>phi</t>
  </si>
  <si>
    <t>x</t>
  </si>
  <si>
    <t>co3-2</t>
  </si>
  <si>
    <t>h2o</t>
  </si>
  <si>
    <t>t=0</t>
  </si>
  <si>
    <t>d</t>
  </si>
  <si>
    <t>m</t>
  </si>
  <si>
    <t>q</t>
  </si>
  <si>
    <t>D</t>
  </si>
  <si>
    <t>m/d</t>
  </si>
  <si>
    <t>m^2/d</t>
  </si>
  <si>
    <t>act coeffs model</t>
  </si>
  <si>
    <t>ideal</t>
  </si>
  <si>
    <t>L</t>
  </si>
  <si>
    <t>U</t>
  </si>
  <si>
    <t>prim species</t>
  </si>
  <si>
    <t>K</t>
  </si>
  <si>
    <t>initial target waters</t>
  </si>
  <si>
    <t>o2(g)</t>
  </si>
  <si>
    <t>rk</t>
  </si>
  <si>
    <t>r_eq</t>
  </si>
  <si>
    <t xml:space="preserve">co3-2          </t>
  </si>
  <si>
    <t>oxid aer</t>
  </si>
  <si>
    <t>denit</t>
  </si>
  <si>
    <r>
      <t xml:space="preserve">the kinetic reaction rates are computed using </t>
    </r>
    <r>
      <rPr>
        <b/>
        <sz val="11"/>
        <color theme="1"/>
        <rFont val="Calibri"/>
        <family val="2"/>
        <scheme val="minor"/>
      </rPr>
      <t>Monod</t>
    </r>
    <r>
      <rPr>
        <sz val="11"/>
        <color theme="1"/>
        <rFont val="Calibri"/>
        <family val="2"/>
        <scheme val="minor"/>
      </rPr>
      <t xml:space="preserve"> expressions</t>
    </r>
  </si>
  <si>
    <t>equilibrium reactions</t>
  </si>
  <si>
    <t>kinetic reactions</t>
  </si>
  <si>
    <t>aerobic oxidation of DOC</t>
  </si>
  <si>
    <t>denitrification</t>
  </si>
  <si>
    <t>co2(g)</t>
  </si>
  <si>
    <t>calcite</t>
  </si>
  <si>
    <t>aqueous species</t>
  </si>
  <si>
    <t>minerals</t>
  </si>
  <si>
    <t>gases</t>
  </si>
  <si>
    <t>eq reactions</t>
  </si>
  <si>
    <r>
      <t xml:space="preserve">The domain is discretised by </t>
    </r>
    <r>
      <rPr>
        <b/>
        <sz val="11"/>
        <color theme="1"/>
        <rFont val="Calibri"/>
        <family val="2"/>
        <scheme val="minor"/>
      </rPr>
      <t>cells</t>
    </r>
    <r>
      <rPr>
        <sz val="11"/>
        <color theme="1"/>
        <rFont val="Calibri"/>
        <family val="2"/>
        <scheme val="minor"/>
      </rPr>
      <t>, who begin and end in the domain's boundary</t>
    </r>
  </si>
  <si>
    <t>aq species conc</t>
  </si>
  <si>
    <t>vol frac</t>
  </si>
  <si>
    <t>S_e</t>
  </si>
  <si>
    <t>part press</t>
  </si>
  <si>
    <t>K master25</t>
  </si>
  <si>
    <t>init wat type</t>
  </si>
  <si>
    <t>init min zone</t>
  </si>
  <si>
    <t>tar wat ind</t>
  </si>
  <si>
    <t>The initial water is in equilibrium with calcite</t>
  </si>
  <si>
    <r>
      <t xml:space="preserve">concentrations of aqueous species are expressed in </t>
    </r>
    <r>
      <rPr>
        <b/>
        <sz val="11"/>
        <color theme="1"/>
        <rFont val="Calibri"/>
        <family val="2"/>
        <scheme val="minor"/>
      </rPr>
      <t>molalities</t>
    </r>
  </si>
  <si>
    <t>We also assume that water has activity=1</t>
  </si>
  <si>
    <t>The infiltration water is in equilibrium with atmospheric O2 &amp; CO2  as well as with calcite</t>
  </si>
  <si>
    <t>domain</t>
  </si>
  <si>
    <r>
      <t xml:space="preserve">We assume that the </t>
    </r>
    <r>
      <rPr>
        <b/>
        <sz val="11"/>
        <color theme="1"/>
        <rFont val="Calibri"/>
        <family val="2"/>
        <scheme val="minor"/>
      </rPr>
      <t>partial pressure of gases is constant</t>
    </r>
  </si>
  <si>
    <t>infiltration water</t>
  </si>
  <si>
    <t>sum</t>
  </si>
  <si>
    <t>mu_1</t>
  </si>
  <si>
    <t>K_DOC</t>
  </si>
  <si>
    <t>K_O2</t>
  </si>
  <si>
    <t>mu_2</t>
  </si>
  <si>
    <t>I_O2</t>
  </si>
  <si>
    <t>K_NO3</t>
  </si>
  <si>
    <t>error abs</t>
  </si>
  <si>
    <t>BC inflow</t>
  </si>
  <si>
    <t>BC outflow</t>
  </si>
  <si>
    <r>
      <t xml:space="preserve">the BCs are </t>
    </r>
    <r>
      <rPr>
        <b/>
        <sz val="11"/>
        <color theme="1"/>
        <rFont val="Calibri"/>
        <family val="2"/>
        <scheme val="minor"/>
      </rPr>
      <t>prescribed mass flux at the inlet</t>
    </r>
    <r>
      <rPr>
        <sz val="11"/>
        <color theme="1"/>
        <rFont val="Calibri"/>
        <family val="2"/>
        <scheme val="minor"/>
      </rPr>
      <t xml:space="preserve">, and </t>
    </r>
    <r>
      <rPr>
        <b/>
        <sz val="11"/>
        <color theme="1"/>
        <rFont val="Calibri"/>
        <family val="2"/>
        <scheme val="minor"/>
      </rPr>
      <t>zero dispersive flux at the outlet</t>
    </r>
  </si>
  <si>
    <t>t=0.1d</t>
  </si>
  <si>
    <t>t=0.01d</t>
  </si>
  <si>
    <t>t=1d</t>
  </si>
  <si>
    <t>The equilibrium reaction rates are computed using ordinary least squares method with the concentrations of  variable activity species</t>
  </si>
  <si>
    <t>theta_t</t>
  </si>
  <si>
    <t>theta_r</t>
  </si>
  <si>
    <t>long disp</t>
  </si>
  <si>
    <t>num cells</t>
  </si>
  <si>
    <t>lambdas</t>
  </si>
  <si>
    <t>inf</t>
  </si>
  <si>
    <t>out</t>
  </si>
  <si>
    <t>cell</t>
  </si>
  <si>
    <t xml:space="preserve">          h2o(p)         </t>
  </si>
  <si>
    <t xml:space="preserve">          cl-            </t>
  </si>
  <si>
    <t xml:space="preserve">          ch2o(aq)       </t>
  </si>
  <si>
    <t xml:space="preserve">          h+             </t>
  </si>
  <si>
    <t xml:space="preserve">          no3-           </t>
  </si>
  <si>
    <t xml:space="preserve">          n2(aq)(p)      </t>
  </si>
  <si>
    <t xml:space="preserve">          ca+2           </t>
  </si>
  <si>
    <t xml:space="preserve">          hco3-          </t>
  </si>
  <si>
    <t xml:space="preserve">          o2(aq)         </t>
  </si>
  <si>
    <t xml:space="preserve">          co3-2          </t>
  </si>
  <si>
    <t>initial water</t>
  </si>
  <si>
    <t>err abs</t>
  </si>
  <si>
    <t>t_c</t>
  </si>
  <si>
    <t>L_c</t>
  </si>
  <si>
    <t>t=5d</t>
  </si>
  <si>
    <t>inflow</t>
  </si>
  <si>
    <t>outflow</t>
  </si>
  <si>
    <t>q_inf</t>
  </si>
  <si>
    <t>This excel sheet contains the results of a 1D denitrification problem without the whole path (2 redox reactions only). The input and output files can be found in the folder "denit_2reacts_case1".</t>
  </si>
  <si>
    <r>
      <t>This problem has been simulated with the code REMIX, and the results are shown in the sheet "</t>
    </r>
    <r>
      <rPr>
        <b/>
        <sz val="11"/>
        <color theme="1"/>
        <rFont val="Calibri"/>
        <family val="2"/>
        <scheme val="minor"/>
      </rPr>
      <t>results</t>
    </r>
    <r>
      <rPr>
        <sz val="11"/>
        <color theme="1"/>
        <rFont val="Calibri"/>
        <family val="2"/>
        <scheme val="minor"/>
      </rPr>
      <t>"</t>
    </r>
  </si>
  <si>
    <r>
      <t xml:space="preserve">both transport and reactions are solved using </t>
    </r>
    <r>
      <rPr>
        <b/>
        <sz val="11"/>
        <color theme="1"/>
        <rFont val="Calibri"/>
        <family val="2"/>
        <scheme val="minor"/>
      </rPr>
      <t>Euler fully implicit</t>
    </r>
  </si>
  <si>
    <t>transport approach</t>
  </si>
  <si>
    <t>Eulerian</t>
  </si>
  <si>
    <t>A_{i,i-1}</t>
  </si>
  <si>
    <t>A_{i,i+1}</t>
  </si>
  <si>
    <t>A_{i,i}</t>
  </si>
  <si>
    <t>T_{i,i-1}</t>
  </si>
  <si>
    <t>T_{i,i+1}</t>
  </si>
  <si>
    <t>T_{i,i}</t>
  </si>
  <si>
    <t>1/d</t>
  </si>
  <si>
    <t>T_{1,1}</t>
  </si>
  <si>
    <t>T_{n,n}</t>
  </si>
  <si>
    <t>t=0.02d</t>
  </si>
  <si>
    <t>Peclet grid</t>
  </si>
  <si>
    <t>Courant</t>
  </si>
  <si>
    <t>reactive zone domain</t>
  </si>
  <si>
    <t>S_K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</si>
</sst>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E+00"/>
    <numFmt numFmtId="165" formatCode="0.000000E+00"/>
    <numFmt numFmtId="166" formatCode="0.0000E+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/>
    <xf numFmtId="11" fontId="0" fillId="0" borderId="0" xfId="0" applyNumberFormat="1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right"/>
    </xf>
    <xf numFmtId="11" fontId="0" fillId="0" borderId="0" xfId="0" applyNumberFormat="1" applyAlignment="1">
      <alignment horizontal="right"/>
    </xf>
    <xf numFmtId="0" fontId="0" fillId="2" borderId="0" xfId="0" applyFill="1"/>
    <xf numFmtId="0" fontId="2" fillId="3" borderId="0" xfId="0" applyFont="1" applyFill="1"/>
    <xf numFmtId="0" fontId="2" fillId="0" borderId="0" xfId="0" applyFont="1"/>
    <xf numFmtId="0" fontId="0" fillId="4" borderId="0" xfId="0" applyFill="1" applyAlignment="1">
      <alignment horizontal="right"/>
    </xf>
    <xf numFmtId="0" fontId="3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/>
    </xf>
    <xf numFmtId="11" fontId="0" fillId="0" borderId="0" xfId="0" applyNumberFormat="1" applyAlignment="1">
      <alignment horizontal="center"/>
    </xf>
    <xf numFmtId="0" fontId="1" fillId="0" borderId="1" xfId="0" applyFont="1" applyBorder="1"/>
    <xf numFmtId="11" fontId="0" fillId="0" borderId="1" xfId="0" applyNumberFormat="1" applyBorder="1"/>
    <xf numFmtId="0" fontId="0" fillId="0" borderId="1" xfId="0" applyBorder="1"/>
    <xf numFmtId="164" fontId="0" fillId="0" borderId="0" xfId="0" applyNumberFormat="1"/>
    <xf numFmtId="165" fontId="0" fillId="0" borderId="0" xfId="0" applyNumberFormat="1"/>
    <xf numFmtId="0" fontId="0" fillId="0" borderId="0" xfId="0" applyAlignment="1">
      <alignment horizontal="center"/>
    </xf>
    <xf numFmtId="0" fontId="1" fillId="0" borderId="0" xfId="0" applyFont="1" applyAlignment="1">
      <alignment horizontal="left"/>
    </xf>
    <xf numFmtId="11" fontId="1" fillId="0" borderId="0" xfId="0" applyNumberFormat="1" applyFont="1"/>
    <xf numFmtId="11" fontId="0" fillId="0" borderId="3" xfId="0" applyNumberFormat="1" applyBorder="1" applyAlignment="1">
      <alignment horizontal="center"/>
    </xf>
    <xf numFmtId="11" fontId="0" fillId="0" borderId="4" xfId="0" applyNumberFormat="1" applyBorder="1" applyAlignment="1">
      <alignment horizontal="center"/>
    </xf>
    <xf numFmtId="0" fontId="0" fillId="0" borderId="3" xfId="0" applyBorder="1"/>
    <xf numFmtId="166" fontId="0" fillId="0" borderId="0" xfId="0" applyNumberFormat="1" applyAlignment="1">
      <alignment horizontal="center"/>
    </xf>
    <xf numFmtId="165" fontId="0" fillId="0" borderId="3" xfId="0" applyNumberFormat="1" applyBorder="1"/>
    <xf numFmtId="11" fontId="1" fillId="0" borderId="3" xfId="0" applyNumberFormat="1" applyFont="1" applyBorder="1" applyAlignment="1">
      <alignment horizontal="center"/>
    </xf>
    <xf numFmtId="166" fontId="0" fillId="0" borderId="2" xfId="0" applyNumberFormat="1" applyBorder="1" applyAlignment="1">
      <alignment horizontal="center"/>
    </xf>
    <xf numFmtId="0" fontId="0" fillId="0" borderId="4" xfId="0" applyBorder="1"/>
    <xf numFmtId="11" fontId="1" fillId="0" borderId="0" xfId="0" applyNumberFormat="1" applyFont="1" applyAlignment="1">
      <alignment horizontal="center"/>
    </xf>
    <xf numFmtId="11" fontId="0" fillId="0" borderId="5" xfId="0" applyNumberFormat="1" applyBorder="1" applyAlignment="1">
      <alignment horizontal="center"/>
    </xf>
    <xf numFmtId="11" fontId="0" fillId="0" borderId="6" xfId="0" applyNumberFormat="1" applyBorder="1" applyAlignment="1">
      <alignment horizontal="center"/>
    </xf>
    <xf numFmtId="0" fontId="0" fillId="5" borderId="2" xfId="0" applyFill="1" applyBorder="1"/>
    <xf numFmtId="0" fontId="0" fillId="8" borderId="0" xfId="0" applyFill="1"/>
    <xf numFmtId="11" fontId="0" fillId="9" borderId="0" xfId="0" applyNumberFormat="1" applyFill="1"/>
    <xf numFmtId="166" fontId="0" fillId="0" borderId="0" xfId="0" applyNumberFormat="1"/>
    <xf numFmtId="165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 vertical="center"/>
    </xf>
    <xf numFmtId="0" fontId="1" fillId="7" borderId="0" xfId="0" applyFont="1" applyFill="1"/>
    <xf numFmtId="164" fontId="0" fillId="7" borderId="0" xfId="0" applyNumberFormat="1" applyFill="1"/>
    <xf numFmtId="164" fontId="0" fillId="0" borderId="3" xfId="0" applyNumberFormat="1" applyBorder="1" applyAlignment="1">
      <alignment horizontal="center"/>
    </xf>
    <xf numFmtId="164" fontId="1" fillId="0" borderId="0" xfId="0" applyNumberFormat="1" applyFont="1"/>
    <xf numFmtId="166" fontId="0" fillId="0" borderId="0" xfId="0" applyNumberFormat="1" applyAlignment="1">
      <alignment horizontal="right"/>
    </xf>
    <xf numFmtId="166" fontId="0" fillId="8" borderId="0" xfId="0" applyNumberFormat="1" applyFill="1"/>
    <xf numFmtId="0" fontId="0" fillId="10" borderId="0" xfId="0" applyFill="1"/>
    <xf numFmtId="164" fontId="0" fillId="10" borderId="0" xfId="0" applyNumberFormat="1" applyFill="1"/>
    <xf numFmtId="0" fontId="0" fillId="11" borderId="0" xfId="0" applyFill="1"/>
    <xf numFmtId="164" fontId="0" fillId="11" borderId="0" xfId="0" applyNumberFormat="1" applyFill="1"/>
    <xf numFmtId="0" fontId="0" fillId="0" borderId="2" xfId="0" applyBorder="1"/>
    <xf numFmtId="11" fontId="0" fillId="0" borderId="2" xfId="0" applyNumberFormat="1" applyBorder="1" applyAlignment="1">
      <alignment horizontal="center"/>
    </xf>
    <xf numFmtId="11" fontId="0" fillId="0" borderId="2" xfId="0" applyNumberFormat="1" applyBorder="1"/>
    <xf numFmtId="166" fontId="1" fillId="0" borderId="0" xfId="0" applyNumberFormat="1" applyFont="1"/>
    <xf numFmtId="0" fontId="1" fillId="0" borderId="0" xfId="0" applyFont="1" applyAlignment="1">
      <alignment horizontal="center"/>
    </xf>
    <xf numFmtId="0" fontId="0" fillId="6" borderId="1" xfId="0" applyFill="1" applyBorder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0" fillId="0" borderId="0" xfId="0" applyAlignment="1">
      <alignment horizontal="right" vertical="center"/>
    </xf>
    <xf numFmtId="0" fontId="1" fillId="0" borderId="0" xfId="0" applyFont="1" applyAlignment="1">
      <alignment horizontal="center" vertical="center"/>
    </xf>
    <xf numFmtId="11" fontId="1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92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Lambdas cell 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92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lambdas!$B$1</c:f>
              <c:strCache>
                <c:ptCount val="1"/>
                <c:pt idx="0">
                  <c:v>lambdas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lambdas!$C$1:$N$1</c:f>
              <c:strCache>
                <c:ptCount val="12"/>
                <c:pt idx="0">
                  <c:v>inf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out</c:v>
                </c:pt>
              </c:strCache>
            </c:strRef>
          </c:cat>
          <c:val>
            <c:numRef>
              <c:f>lambdas!$C$6:$N$6</c:f>
              <c:numCache>
                <c:formatCode>0.00000E+00</c:formatCode>
                <c:ptCount val="12"/>
                <c:pt idx="0">
                  <c:v>1.10652190407083E-4</c:v>
                </c:pt>
                <c:pt idx="1">
                  <c:v>2.76630476017707E-3</c:v>
                </c:pt>
                <c:pt idx="2">
                  <c:v>9.3527446653605892E-3</c:v>
                </c:pt>
                <c:pt idx="3">
                  <c:v>3.7580344259004202E-2</c:v>
                </c:pt>
                <c:pt idx="4">
                  <c:v>0.152596611174691</c:v>
                </c:pt>
                <c:pt idx="5">
                  <c:v>0.61998421260958003</c:v>
                </c:pt>
                <c:pt idx="6">
                  <c:v>0.13805921535919499</c:v>
                </c:pt>
                <c:pt idx="7">
                  <c:v>3.0744254416455698E-2</c:v>
                </c:pt>
                <c:pt idx="8">
                  <c:v>6.8503716979192901E-3</c:v>
                </c:pt>
                <c:pt idx="9">
                  <c:v>1.5425056619083801E-3</c:v>
                </c:pt>
                <c:pt idx="10">
                  <c:v>4.1278320529942601E-4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92-43A2-9B31-1C6F3DD8C5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57846160"/>
        <c:axId val="1057839920"/>
      </c:barChart>
      <c:catAx>
        <c:axId val="1057846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7839920"/>
        <c:crossesAt val="1.000000000000001E-16"/>
        <c:auto val="1"/>
        <c:lblAlgn val="ctr"/>
        <c:lblOffset val="100"/>
        <c:noMultiLvlLbl val="0"/>
      </c:catAx>
      <c:valAx>
        <c:axId val="1057839920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78461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6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ca+2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1"/>
          <c:tx>
            <c:strRef>
              <c:f>results!$B$18</c:f>
              <c:strCache>
                <c:ptCount val="1"/>
                <c:pt idx="0">
                  <c:v>t=0.01d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results!$B$2:$K$2</c:f>
              <c:numCache>
                <c:formatCode>General</c:formatCode>
                <c:ptCount val="10"/>
                <c:pt idx="0">
                  <c:v>0.05</c:v>
                </c:pt>
                <c:pt idx="1">
                  <c:v>0.15000000000000002</c:v>
                </c:pt>
                <c:pt idx="2">
                  <c:v>0.25</c:v>
                </c:pt>
                <c:pt idx="3">
                  <c:v>0.35000000000000003</c:v>
                </c:pt>
                <c:pt idx="4">
                  <c:v>0.45</c:v>
                </c:pt>
                <c:pt idx="5">
                  <c:v>0.55000000000000004</c:v>
                </c:pt>
                <c:pt idx="6">
                  <c:v>0.65</c:v>
                </c:pt>
                <c:pt idx="7">
                  <c:v>0.75</c:v>
                </c:pt>
                <c:pt idx="8">
                  <c:v>0.85000000000000009</c:v>
                </c:pt>
                <c:pt idx="9">
                  <c:v>0.95000000000000007</c:v>
                </c:pt>
              </c:numCache>
            </c:numRef>
          </c:xVal>
          <c:yVal>
            <c:numRef>
              <c:f>results!$B$25:$K$25</c:f>
              <c:numCache>
                <c:formatCode>0.00E+00</c:formatCode>
                <c:ptCount val="10"/>
                <c:pt idx="0">
                  <c:v>6.8941799999999998E-3</c:v>
                </c:pt>
                <c:pt idx="1">
                  <c:v>7.01842E-3</c:v>
                </c:pt>
                <c:pt idx="2">
                  <c:v>7.0491099999999999E-3</c:v>
                </c:pt>
                <c:pt idx="3">
                  <c:v>7.0566800000000001E-3</c:v>
                </c:pt>
                <c:pt idx="4">
                  <c:v>7.0585400000000003E-3</c:v>
                </c:pt>
                <c:pt idx="5">
                  <c:v>7.0590000000000002E-3</c:v>
                </c:pt>
                <c:pt idx="6">
                  <c:v>7.0591200000000003E-3</c:v>
                </c:pt>
                <c:pt idx="7">
                  <c:v>7.0591400000000002E-3</c:v>
                </c:pt>
                <c:pt idx="8">
                  <c:v>7.0591500000000001E-3</c:v>
                </c:pt>
                <c:pt idx="9">
                  <c:v>7.0591500000000001E-3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402-4244-926E-DC632E3481AC}"/>
            </c:ext>
          </c:extLst>
        </c:ser>
        <c:ser>
          <c:idx val="3"/>
          <c:order val="2"/>
          <c:tx>
            <c:strRef>
              <c:f>results!$B$35</c:f>
              <c:strCache>
                <c:ptCount val="1"/>
                <c:pt idx="0">
                  <c:v>t=0.02d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results!$B$2:$K$2</c:f>
              <c:numCache>
                <c:formatCode>General</c:formatCode>
                <c:ptCount val="10"/>
                <c:pt idx="0">
                  <c:v>0.05</c:v>
                </c:pt>
                <c:pt idx="1">
                  <c:v>0.15000000000000002</c:v>
                </c:pt>
                <c:pt idx="2">
                  <c:v>0.25</c:v>
                </c:pt>
                <c:pt idx="3">
                  <c:v>0.35000000000000003</c:v>
                </c:pt>
                <c:pt idx="4">
                  <c:v>0.45</c:v>
                </c:pt>
                <c:pt idx="5">
                  <c:v>0.55000000000000004</c:v>
                </c:pt>
                <c:pt idx="6">
                  <c:v>0.65</c:v>
                </c:pt>
                <c:pt idx="7">
                  <c:v>0.75</c:v>
                </c:pt>
                <c:pt idx="8">
                  <c:v>0.85000000000000009</c:v>
                </c:pt>
                <c:pt idx="9">
                  <c:v>0.95000000000000007</c:v>
                </c:pt>
              </c:numCache>
            </c:numRef>
          </c:xVal>
          <c:yVal>
            <c:numRef>
              <c:f>results!$B$42:$K$42</c:f>
              <c:numCache>
                <c:formatCode>0.00E+00</c:formatCode>
                <c:ptCount val="10"/>
                <c:pt idx="0">
                  <c:v>6.7639900000000001E-3</c:v>
                </c:pt>
                <c:pt idx="1">
                  <c:v>6.9612900000000002E-3</c:v>
                </c:pt>
                <c:pt idx="2">
                  <c:v>7.0289699999999998E-3</c:v>
                </c:pt>
                <c:pt idx="3">
                  <c:v>7.0503400000000004E-3</c:v>
                </c:pt>
                <c:pt idx="4">
                  <c:v>7.0567499999999997E-3</c:v>
                </c:pt>
                <c:pt idx="5">
                  <c:v>7.0586099999999999E-3</c:v>
                </c:pt>
                <c:pt idx="6">
                  <c:v>7.0591400000000002E-3</c:v>
                </c:pt>
                <c:pt idx="7">
                  <c:v>7.0592900000000002E-3</c:v>
                </c:pt>
                <c:pt idx="8">
                  <c:v>7.0593299999999999E-3</c:v>
                </c:pt>
                <c:pt idx="9">
                  <c:v>7.0593399999999999E-3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526-4C2D-B9D5-312C7BBFFB95}"/>
            </c:ext>
          </c:extLst>
        </c:ser>
        <c:ser>
          <c:idx val="2"/>
          <c:order val="3"/>
          <c:tx>
            <c:strRef>
              <c:f>results!$B$52</c:f>
              <c:strCache>
                <c:ptCount val="1"/>
                <c:pt idx="0">
                  <c:v>t=0.1d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results!$B$2:$K$2</c:f>
              <c:numCache>
                <c:formatCode>General</c:formatCode>
                <c:ptCount val="10"/>
                <c:pt idx="0">
                  <c:v>0.05</c:v>
                </c:pt>
                <c:pt idx="1">
                  <c:v>0.15000000000000002</c:v>
                </c:pt>
                <c:pt idx="2">
                  <c:v>0.25</c:v>
                </c:pt>
                <c:pt idx="3">
                  <c:v>0.35000000000000003</c:v>
                </c:pt>
                <c:pt idx="4">
                  <c:v>0.45</c:v>
                </c:pt>
                <c:pt idx="5">
                  <c:v>0.55000000000000004</c:v>
                </c:pt>
                <c:pt idx="6">
                  <c:v>0.65</c:v>
                </c:pt>
                <c:pt idx="7">
                  <c:v>0.75</c:v>
                </c:pt>
                <c:pt idx="8">
                  <c:v>0.85000000000000009</c:v>
                </c:pt>
                <c:pt idx="9">
                  <c:v>0.95000000000000007</c:v>
                </c:pt>
              </c:numCache>
            </c:numRef>
          </c:xVal>
          <c:yVal>
            <c:numRef>
              <c:f>results!$B$59:$K$59</c:f>
              <c:numCache>
                <c:formatCode>0.00E+00</c:formatCode>
                <c:ptCount val="10"/>
                <c:pt idx="0">
                  <c:v>6.1739400000000002E-3</c:v>
                </c:pt>
                <c:pt idx="1">
                  <c:v>6.5020700000000004E-3</c:v>
                </c:pt>
                <c:pt idx="2">
                  <c:v>6.7308200000000002E-3</c:v>
                </c:pt>
                <c:pt idx="3">
                  <c:v>6.8772900000000003E-3</c:v>
                </c:pt>
                <c:pt idx="4">
                  <c:v>6.9640800000000001E-3</c:v>
                </c:pt>
                <c:pt idx="5">
                  <c:v>7.0120599999999996E-3</c:v>
                </c:pt>
                <c:pt idx="6">
                  <c:v>7.0369999999999999E-3</c:v>
                </c:pt>
                <c:pt idx="7">
                  <c:v>7.04924E-3</c:v>
                </c:pt>
                <c:pt idx="8">
                  <c:v>7.0548700000000004E-3</c:v>
                </c:pt>
                <c:pt idx="9">
                  <c:v>7.0570399999999997E-3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555-46F7-9726-3163279605EC}"/>
            </c:ext>
          </c:extLst>
        </c:ser>
        <c:ser>
          <c:idx val="0"/>
          <c:order val="4"/>
          <c:tx>
            <c:strRef>
              <c:f>results!$B$69</c:f>
              <c:strCache>
                <c:ptCount val="1"/>
                <c:pt idx="0">
                  <c:v>t=1d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results!$B$2:$K$2</c:f>
              <c:numCache>
                <c:formatCode>General</c:formatCode>
                <c:ptCount val="10"/>
                <c:pt idx="0">
                  <c:v>0.05</c:v>
                </c:pt>
                <c:pt idx="1">
                  <c:v>0.15000000000000002</c:v>
                </c:pt>
                <c:pt idx="2">
                  <c:v>0.25</c:v>
                </c:pt>
                <c:pt idx="3">
                  <c:v>0.35000000000000003</c:v>
                </c:pt>
                <c:pt idx="4">
                  <c:v>0.45</c:v>
                </c:pt>
                <c:pt idx="5">
                  <c:v>0.55000000000000004</c:v>
                </c:pt>
                <c:pt idx="6">
                  <c:v>0.65</c:v>
                </c:pt>
                <c:pt idx="7">
                  <c:v>0.75</c:v>
                </c:pt>
                <c:pt idx="8">
                  <c:v>0.85000000000000009</c:v>
                </c:pt>
                <c:pt idx="9">
                  <c:v>0.95000000000000007</c:v>
                </c:pt>
              </c:numCache>
            </c:numRef>
          </c:xVal>
          <c:yVal>
            <c:numRef>
              <c:f>results!$B$76:$K$76</c:f>
              <c:numCache>
                <c:formatCode>0.00E+00</c:formatCode>
                <c:ptCount val="10"/>
                <c:pt idx="0">
                  <c:v>4.31037E-3</c:v>
                </c:pt>
                <c:pt idx="1">
                  <c:v>4.5488300000000002E-3</c:v>
                </c:pt>
                <c:pt idx="2">
                  <c:v>4.7737700000000001E-3</c:v>
                </c:pt>
                <c:pt idx="3">
                  <c:v>4.9833400000000002E-3</c:v>
                </c:pt>
                <c:pt idx="4">
                  <c:v>5.1745599999999999E-3</c:v>
                </c:pt>
                <c:pt idx="5">
                  <c:v>5.3439300000000002E-3</c:v>
                </c:pt>
                <c:pt idx="6">
                  <c:v>5.4876400000000002E-3</c:v>
                </c:pt>
                <c:pt idx="7">
                  <c:v>5.6017100000000002E-3</c:v>
                </c:pt>
                <c:pt idx="8">
                  <c:v>5.6820400000000002E-3</c:v>
                </c:pt>
                <c:pt idx="9">
                  <c:v>5.7243800000000003E-3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587-493E-B599-4F60D949BC33}"/>
            </c:ext>
          </c:extLst>
        </c:ser>
        <c:ser>
          <c:idx val="5"/>
          <c:order val="5"/>
          <c:tx>
            <c:strRef>
              <c:f>results!$B$86</c:f>
              <c:strCache>
                <c:ptCount val="1"/>
                <c:pt idx="0">
                  <c:v>t=5d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results!$B$2:$K$2</c:f>
              <c:numCache>
                <c:formatCode>General</c:formatCode>
                <c:ptCount val="10"/>
                <c:pt idx="0">
                  <c:v>0.05</c:v>
                </c:pt>
                <c:pt idx="1">
                  <c:v>0.15000000000000002</c:v>
                </c:pt>
                <c:pt idx="2">
                  <c:v>0.25</c:v>
                </c:pt>
                <c:pt idx="3">
                  <c:v>0.35000000000000003</c:v>
                </c:pt>
                <c:pt idx="4">
                  <c:v>0.45</c:v>
                </c:pt>
                <c:pt idx="5">
                  <c:v>0.55000000000000004</c:v>
                </c:pt>
                <c:pt idx="6">
                  <c:v>0.65</c:v>
                </c:pt>
                <c:pt idx="7">
                  <c:v>0.75</c:v>
                </c:pt>
                <c:pt idx="8">
                  <c:v>0.85000000000000009</c:v>
                </c:pt>
                <c:pt idx="9">
                  <c:v>0.95000000000000007</c:v>
                </c:pt>
              </c:numCache>
            </c:numRef>
          </c:xVal>
          <c:yVal>
            <c:numRef>
              <c:f>results!$B$93:$K$93</c:f>
              <c:numCache>
                <c:formatCode>0.000000E+00</c:formatCode>
                <c:ptCount val="10"/>
                <c:pt idx="0">
                  <c:v>2.1921900000000001E-3</c:v>
                </c:pt>
                <c:pt idx="1">
                  <c:v>2.23332E-3</c:v>
                </c:pt>
                <c:pt idx="2" formatCode="0.00E+00">
                  <c:v>2.2698800000000002E-3</c:v>
                </c:pt>
                <c:pt idx="3" formatCode="0.00E+00">
                  <c:v>2.3031800000000002E-3</c:v>
                </c:pt>
                <c:pt idx="4" formatCode="0.00E+00">
                  <c:v>2.3333799999999999E-3</c:v>
                </c:pt>
                <c:pt idx="5" formatCode="0.00E+00">
                  <c:v>2.3601300000000002E-3</c:v>
                </c:pt>
                <c:pt idx="6" formatCode="0.00E+00">
                  <c:v>2.3828899999999999E-3</c:v>
                </c:pt>
                <c:pt idx="7" formatCode="0.00E+00">
                  <c:v>2.4009999999999999E-3</c:v>
                </c:pt>
                <c:pt idx="8" formatCode="0.00E+00">
                  <c:v>2.4137899999999999E-3</c:v>
                </c:pt>
                <c:pt idx="9" formatCode="0.00E+00">
                  <c:v>2.4205400000000001E-3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1F9-479C-A5E3-1C5B40581B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57452688"/>
        <c:axId val="185893712"/>
        <c:extLst>
          <c:ext xmlns:c15="http://schemas.microsoft.com/office/drawing/2012/chart" uri="{02D57815-91ED-43cb-92C2-25804820EDAC}">
            <c15:filteredScatterSeries>
              <c15:ser>
                <c:idx val="4"/>
                <c:order val="0"/>
                <c:tx>
                  <c:strRef>
                    <c:extLst>
                      <c:ext uri="{02D57815-91ED-43cb-92C2-25804820EDAC}">
                        <c15:formulaRef>
                          <c15:sqref>results!$B$5</c15:sqref>
                        </c15:formulaRef>
                      </c:ext>
                    </c:extLst>
                    <c:strCache>
                      <c:ptCount val="1"/>
                      <c:pt idx="0">
                        <c:v>t=0</c:v>
                      </c:pt>
                    </c:strCache>
                  </c:strRef>
                </c:tx>
                <c:spPr>
                  <a:ln w="19050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results!$B$2:$K$2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0.05</c:v>
                      </c:pt>
                      <c:pt idx="1">
                        <c:v>0.15000000000000002</c:v>
                      </c:pt>
                      <c:pt idx="2">
                        <c:v>0.25</c:v>
                      </c:pt>
                      <c:pt idx="3">
                        <c:v>0.35000000000000003</c:v>
                      </c:pt>
                      <c:pt idx="4">
                        <c:v>0.45</c:v>
                      </c:pt>
                      <c:pt idx="5">
                        <c:v>0.55000000000000004</c:v>
                      </c:pt>
                      <c:pt idx="6">
                        <c:v>0.65</c:v>
                      </c:pt>
                      <c:pt idx="7">
                        <c:v>0.75</c:v>
                      </c:pt>
                      <c:pt idx="8">
                        <c:v>0.85000000000000009</c:v>
                      </c:pt>
                      <c:pt idx="9">
                        <c:v>0.95000000000000007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results!$B$12:$K$12</c15:sqref>
                        </c15:formulaRef>
                      </c:ext>
                    </c:extLst>
                    <c:numCache>
                      <c:formatCode>0.00E+00</c:formatCode>
                      <c:ptCount val="10"/>
                      <c:pt idx="0">
                        <c:v>7.0583E-3</c:v>
                      </c:pt>
                      <c:pt idx="1">
                        <c:v>7.0583E-3</c:v>
                      </c:pt>
                      <c:pt idx="2">
                        <c:v>7.0583E-3</c:v>
                      </c:pt>
                      <c:pt idx="3">
                        <c:v>7.0583E-3</c:v>
                      </c:pt>
                      <c:pt idx="4">
                        <c:v>7.0583E-3</c:v>
                      </c:pt>
                      <c:pt idx="5">
                        <c:v>7.0583E-3</c:v>
                      </c:pt>
                      <c:pt idx="6">
                        <c:v>7.0583E-3</c:v>
                      </c:pt>
                      <c:pt idx="7">
                        <c:v>7.0583E-3</c:v>
                      </c:pt>
                      <c:pt idx="8">
                        <c:v>7.0583E-3</c:v>
                      </c:pt>
                      <c:pt idx="9">
                        <c:v>7.0583E-3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2-1587-493E-B599-4F60D949BC33}"/>
                  </c:ext>
                </c:extLst>
              </c15:ser>
            </c15:filteredScatterSeries>
          </c:ext>
        </c:extLst>
      </c:scatterChart>
      <c:valAx>
        <c:axId val="20574526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893712"/>
        <c:crosses val="autoZero"/>
        <c:crossBetween val="midCat"/>
      </c:valAx>
      <c:valAx>
        <c:axId val="185893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conc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74526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1618044619422574"/>
          <c:y val="0.66775300455864062"/>
          <c:w val="0.33937510936132981"/>
          <c:h val="0.22164018971312796"/>
        </c:manualLayout>
      </c:layout>
      <c:overlay val="1"/>
      <c:spPr>
        <a:solidFill>
          <a:sysClr val="window" lastClr="FFFFFF"/>
        </a:solidFill>
        <a:ln>
          <a:solidFill>
            <a:sysClr val="windowText" lastClr="000000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h+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1"/>
          <c:tx>
            <c:strRef>
              <c:f>results!$B$18</c:f>
              <c:strCache>
                <c:ptCount val="1"/>
                <c:pt idx="0">
                  <c:v>t=0.01d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results!$B$2:$K$2</c:f>
              <c:numCache>
                <c:formatCode>General</c:formatCode>
                <c:ptCount val="10"/>
                <c:pt idx="0">
                  <c:v>0.05</c:v>
                </c:pt>
                <c:pt idx="1">
                  <c:v>0.15000000000000002</c:v>
                </c:pt>
                <c:pt idx="2">
                  <c:v>0.25</c:v>
                </c:pt>
                <c:pt idx="3">
                  <c:v>0.35000000000000003</c:v>
                </c:pt>
                <c:pt idx="4">
                  <c:v>0.45</c:v>
                </c:pt>
                <c:pt idx="5">
                  <c:v>0.55000000000000004</c:v>
                </c:pt>
                <c:pt idx="6">
                  <c:v>0.65</c:v>
                </c:pt>
                <c:pt idx="7">
                  <c:v>0.75</c:v>
                </c:pt>
                <c:pt idx="8">
                  <c:v>0.85000000000000009</c:v>
                </c:pt>
                <c:pt idx="9">
                  <c:v>0.95000000000000007</c:v>
                </c:pt>
              </c:numCache>
            </c:numRef>
          </c:xVal>
          <c:yVal>
            <c:numRef>
              <c:f>results!$B$22:$K$22</c:f>
              <c:numCache>
                <c:formatCode>0.00E+00</c:formatCode>
                <c:ptCount val="10"/>
                <c:pt idx="0">
                  <c:v>9.8465399999999997E-8</c:v>
                </c:pt>
                <c:pt idx="1">
                  <c:v>9.9712300000000003E-8</c:v>
                </c:pt>
                <c:pt idx="2">
                  <c:v>1.00074E-7</c:v>
                </c:pt>
                <c:pt idx="3">
                  <c:v>1.00169E-7</c:v>
                </c:pt>
                <c:pt idx="4">
                  <c:v>1.00192E-7</c:v>
                </c:pt>
                <c:pt idx="5">
                  <c:v>1.0019799999999999E-7</c:v>
                </c:pt>
                <c:pt idx="6">
                  <c:v>1.002E-7</c:v>
                </c:pt>
                <c:pt idx="7">
                  <c:v>1.002E-7</c:v>
                </c:pt>
                <c:pt idx="8">
                  <c:v>1.002E-7</c:v>
                </c:pt>
                <c:pt idx="9">
                  <c:v>1.002E-7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B28-41D6-908A-475B6AB90E85}"/>
            </c:ext>
          </c:extLst>
        </c:ser>
        <c:ser>
          <c:idx val="3"/>
          <c:order val="2"/>
          <c:tx>
            <c:strRef>
              <c:f>results!$B$35</c:f>
              <c:strCache>
                <c:ptCount val="1"/>
                <c:pt idx="0">
                  <c:v>t=0.02d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results!$B$2:$K$2</c:f>
              <c:numCache>
                <c:formatCode>General</c:formatCode>
                <c:ptCount val="10"/>
                <c:pt idx="0">
                  <c:v>0.05</c:v>
                </c:pt>
                <c:pt idx="1">
                  <c:v>0.15000000000000002</c:v>
                </c:pt>
                <c:pt idx="2">
                  <c:v>0.25</c:v>
                </c:pt>
                <c:pt idx="3">
                  <c:v>0.35000000000000003</c:v>
                </c:pt>
                <c:pt idx="4">
                  <c:v>0.45</c:v>
                </c:pt>
                <c:pt idx="5">
                  <c:v>0.55000000000000004</c:v>
                </c:pt>
                <c:pt idx="6">
                  <c:v>0.65</c:v>
                </c:pt>
                <c:pt idx="7">
                  <c:v>0.75</c:v>
                </c:pt>
                <c:pt idx="8">
                  <c:v>0.85000000000000009</c:v>
                </c:pt>
                <c:pt idx="9">
                  <c:v>0.95000000000000007</c:v>
                </c:pt>
              </c:numCache>
            </c:numRef>
          </c:xVal>
          <c:yVal>
            <c:numRef>
              <c:f>results!$B$39:$K$39</c:f>
              <c:numCache>
                <c:formatCode>0.00E+00</c:formatCode>
                <c:ptCount val="10"/>
                <c:pt idx="0">
                  <c:v>9.7790299999999994E-8</c:v>
                </c:pt>
                <c:pt idx="1">
                  <c:v>9.9293800000000005E-8</c:v>
                </c:pt>
                <c:pt idx="2">
                  <c:v>9.9934399999999995E-8</c:v>
                </c:pt>
                <c:pt idx="3">
                  <c:v>1.00158E-7</c:v>
                </c:pt>
                <c:pt idx="4">
                  <c:v>1.00228E-7</c:v>
                </c:pt>
                <c:pt idx="5">
                  <c:v>1.00249E-7</c:v>
                </c:pt>
                <c:pt idx="6">
                  <c:v>1.0025499999999999E-7</c:v>
                </c:pt>
                <c:pt idx="7">
                  <c:v>1.0025599999999999E-7</c:v>
                </c:pt>
                <c:pt idx="8">
                  <c:v>1.00257E-7</c:v>
                </c:pt>
                <c:pt idx="9">
                  <c:v>1.00257E-7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16C-440C-AE92-6F8D196772DD}"/>
            </c:ext>
          </c:extLst>
        </c:ser>
        <c:ser>
          <c:idx val="2"/>
          <c:order val="3"/>
          <c:tx>
            <c:strRef>
              <c:f>results!$B$52</c:f>
              <c:strCache>
                <c:ptCount val="1"/>
                <c:pt idx="0">
                  <c:v>t=0.1d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results!$B$2:$K$2</c:f>
              <c:numCache>
                <c:formatCode>General</c:formatCode>
                <c:ptCount val="10"/>
                <c:pt idx="0">
                  <c:v>0.05</c:v>
                </c:pt>
                <c:pt idx="1">
                  <c:v>0.15000000000000002</c:v>
                </c:pt>
                <c:pt idx="2">
                  <c:v>0.25</c:v>
                </c:pt>
                <c:pt idx="3">
                  <c:v>0.35000000000000003</c:v>
                </c:pt>
                <c:pt idx="4">
                  <c:v>0.45</c:v>
                </c:pt>
                <c:pt idx="5">
                  <c:v>0.55000000000000004</c:v>
                </c:pt>
                <c:pt idx="6">
                  <c:v>0.65</c:v>
                </c:pt>
                <c:pt idx="7">
                  <c:v>0.75</c:v>
                </c:pt>
                <c:pt idx="8">
                  <c:v>0.85000000000000009</c:v>
                </c:pt>
                <c:pt idx="9">
                  <c:v>0.95000000000000007</c:v>
                </c:pt>
              </c:numCache>
            </c:numRef>
          </c:xVal>
          <c:yVal>
            <c:numRef>
              <c:f>results!$B$56:$K$56</c:f>
              <c:numCache>
                <c:formatCode>0.00E+00</c:formatCode>
                <c:ptCount val="10"/>
                <c:pt idx="0">
                  <c:v>1.01221E-7</c:v>
                </c:pt>
                <c:pt idx="1">
                  <c:v>1.0184200000000001E-7</c:v>
                </c:pt>
                <c:pt idx="2">
                  <c:v>1.01426E-7</c:v>
                </c:pt>
                <c:pt idx="3">
                  <c:v>1.00945E-7</c:v>
                </c:pt>
                <c:pt idx="4">
                  <c:v>1.00648E-7</c:v>
                </c:pt>
                <c:pt idx="5">
                  <c:v>1.00508E-7</c:v>
                </c:pt>
                <c:pt idx="6">
                  <c:v>1.0045399999999999E-7</c:v>
                </c:pt>
                <c:pt idx="7">
                  <c:v>1.00436E-7</c:v>
                </c:pt>
                <c:pt idx="8">
                  <c:v>1.0043099999999999E-7</c:v>
                </c:pt>
                <c:pt idx="9">
                  <c:v>1.0043000000000001E-7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412-43A9-8D1F-C25114BC724D}"/>
            </c:ext>
          </c:extLst>
        </c:ser>
        <c:ser>
          <c:idx val="4"/>
          <c:order val="4"/>
          <c:tx>
            <c:strRef>
              <c:f>results!$B$69</c:f>
              <c:strCache>
                <c:ptCount val="1"/>
                <c:pt idx="0">
                  <c:v>t=1d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results!$B$2:$K$2</c:f>
              <c:numCache>
                <c:formatCode>General</c:formatCode>
                <c:ptCount val="10"/>
                <c:pt idx="0">
                  <c:v>0.05</c:v>
                </c:pt>
                <c:pt idx="1">
                  <c:v>0.15000000000000002</c:v>
                </c:pt>
                <c:pt idx="2">
                  <c:v>0.25</c:v>
                </c:pt>
                <c:pt idx="3">
                  <c:v>0.35000000000000003</c:v>
                </c:pt>
                <c:pt idx="4">
                  <c:v>0.45</c:v>
                </c:pt>
                <c:pt idx="5">
                  <c:v>0.55000000000000004</c:v>
                </c:pt>
                <c:pt idx="6">
                  <c:v>0.65</c:v>
                </c:pt>
                <c:pt idx="7">
                  <c:v>0.75</c:v>
                </c:pt>
                <c:pt idx="8">
                  <c:v>0.85000000000000009</c:v>
                </c:pt>
                <c:pt idx="9">
                  <c:v>0.95000000000000007</c:v>
                </c:pt>
              </c:numCache>
            </c:numRef>
          </c:xVal>
          <c:yVal>
            <c:numRef>
              <c:f>results!$B$73:$K$73</c:f>
              <c:numCache>
                <c:formatCode>0.00E+00</c:formatCode>
                <c:ptCount val="10"/>
                <c:pt idx="0">
                  <c:v>1.0641E-7</c:v>
                </c:pt>
                <c:pt idx="1">
                  <c:v>1.1035199999999999E-7</c:v>
                </c:pt>
                <c:pt idx="2">
                  <c:v>1.12612E-7</c:v>
                </c:pt>
                <c:pt idx="3">
                  <c:v>1.1386400000000001E-7</c:v>
                </c:pt>
                <c:pt idx="4">
                  <c:v>1.14466E-7</c:v>
                </c:pt>
                <c:pt idx="5">
                  <c:v>1.14644E-7</c:v>
                </c:pt>
                <c:pt idx="6">
                  <c:v>1.14563E-7</c:v>
                </c:pt>
                <c:pt idx="7">
                  <c:v>1.14356E-7</c:v>
                </c:pt>
                <c:pt idx="8">
                  <c:v>1.14139E-7</c:v>
                </c:pt>
                <c:pt idx="9">
                  <c:v>1.14001E-7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7D8-4750-A82E-869E63A80E0D}"/>
            </c:ext>
          </c:extLst>
        </c:ser>
        <c:ser>
          <c:idx val="5"/>
          <c:order val="5"/>
          <c:tx>
            <c:strRef>
              <c:f>results!$B$86:$K$86</c:f>
              <c:strCache>
                <c:ptCount val="10"/>
                <c:pt idx="0">
                  <c:v>t=5d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results!$B$2:$K$2</c:f>
              <c:numCache>
                <c:formatCode>General</c:formatCode>
                <c:ptCount val="10"/>
                <c:pt idx="0">
                  <c:v>0.05</c:v>
                </c:pt>
                <c:pt idx="1">
                  <c:v>0.15000000000000002</c:v>
                </c:pt>
                <c:pt idx="2">
                  <c:v>0.25</c:v>
                </c:pt>
                <c:pt idx="3">
                  <c:v>0.35000000000000003</c:v>
                </c:pt>
                <c:pt idx="4">
                  <c:v>0.45</c:v>
                </c:pt>
                <c:pt idx="5">
                  <c:v>0.55000000000000004</c:v>
                </c:pt>
                <c:pt idx="6">
                  <c:v>0.65</c:v>
                </c:pt>
                <c:pt idx="7">
                  <c:v>0.75</c:v>
                </c:pt>
                <c:pt idx="8">
                  <c:v>0.85000000000000009</c:v>
                </c:pt>
                <c:pt idx="9">
                  <c:v>0.95000000000000007</c:v>
                </c:pt>
              </c:numCache>
            </c:numRef>
          </c:xVal>
          <c:yVal>
            <c:numRef>
              <c:f>results!$B$90:$K$90</c:f>
              <c:numCache>
                <c:formatCode>0.000000E+00</c:formatCode>
                <c:ptCount val="10"/>
                <c:pt idx="0">
                  <c:v>7.3874799999999994E-8</c:v>
                </c:pt>
                <c:pt idx="1">
                  <c:v>7.5925E-8</c:v>
                </c:pt>
                <c:pt idx="2" formatCode="0.00E+00">
                  <c:v>7.7250400000000002E-8</c:v>
                </c:pt>
                <c:pt idx="3" formatCode="0.00E+00">
                  <c:v>7.8241099999999998E-8</c:v>
                </c:pt>
                <c:pt idx="4" formatCode="0.00E+00">
                  <c:v>7.9047299999999996E-8</c:v>
                </c:pt>
                <c:pt idx="5" formatCode="0.00E+00">
                  <c:v>7.9722099999999996E-8</c:v>
                </c:pt>
                <c:pt idx="6" formatCode="0.00E+00">
                  <c:v>8.0278899999999995E-8</c:v>
                </c:pt>
                <c:pt idx="7" formatCode="0.00E+00">
                  <c:v>8.0714599999999997E-8</c:v>
                </c:pt>
                <c:pt idx="8" formatCode="0.00E+00">
                  <c:v>8.1019099999999998E-8</c:v>
                </c:pt>
                <c:pt idx="9" formatCode="0.00E+00">
                  <c:v>8.1179000000000002E-8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5D6-4289-A1AC-7FA67F2167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57452688"/>
        <c:axId val="185893712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results!$B$5</c15:sqref>
                        </c15:formulaRef>
                      </c:ext>
                    </c:extLst>
                    <c:strCache>
                      <c:ptCount val="1"/>
                      <c:pt idx="0">
                        <c:v>t=0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results!$B$2:$K$2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0.05</c:v>
                      </c:pt>
                      <c:pt idx="1">
                        <c:v>0.15000000000000002</c:v>
                      </c:pt>
                      <c:pt idx="2">
                        <c:v>0.25</c:v>
                      </c:pt>
                      <c:pt idx="3">
                        <c:v>0.35000000000000003</c:v>
                      </c:pt>
                      <c:pt idx="4">
                        <c:v>0.45</c:v>
                      </c:pt>
                      <c:pt idx="5">
                        <c:v>0.55000000000000004</c:v>
                      </c:pt>
                      <c:pt idx="6">
                        <c:v>0.65</c:v>
                      </c:pt>
                      <c:pt idx="7">
                        <c:v>0.75</c:v>
                      </c:pt>
                      <c:pt idx="8">
                        <c:v>0.85000000000000009</c:v>
                      </c:pt>
                      <c:pt idx="9">
                        <c:v>0.95000000000000007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results!$B$9:$K$9</c15:sqref>
                        </c15:formulaRef>
                      </c:ext>
                    </c:extLst>
                    <c:numCache>
                      <c:formatCode>0.00E+00</c:formatCode>
                      <c:ptCount val="10"/>
                      <c:pt idx="0">
                        <c:v>9.9999999999999995E-8</c:v>
                      </c:pt>
                      <c:pt idx="1">
                        <c:v>9.9999999999999995E-8</c:v>
                      </c:pt>
                      <c:pt idx="2">
                        <c:v>9.9999999999999995E-8</c:v>
                      </c:pt>
                      <c:pt idx="3">
                        <c:v>9.9999999999999995E-8</c:v>
                      </c:pt>
                      <c:pt idx="4">
                        <c:v>9.9999999999999995E-8</c:v>
                      </c:pt>
                      <c:pt idx="5">
                        <c:v>9.9999999999999995E-8</c:v>
                      </c:pt>
                      <c:pt idx="6">
                        <c:v>9.9999999999999995E-8</c:v>
                      </c:pt>
                      <c:pt idx="7">
                        <c:v>9.9999999999999995E-8</c:v>
                      </c:pt>
                      <c:pt idx="8">
                        <c:v>9.9999999999999995E-8</c:v>
                      </c:pt>
                      <c:pt idx="9">
                        <c:v>9.9999999999999995E-8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8B28-41D6-908A-475B6AB90E85}"/>
                  </c:ext>
                </c:extLst>
              </c15:ser>
            </c15:filteredScatterSeries>
          </c:ext>
        </c:extLst>
      </c:scatterChart>
      <c:valAx>
        <c:axId val="20574526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893712"/>
        <c:crosses val="autoZero"/>
        <c:crossBetween val="midCat"/>
      </c:valAx>
      <c:valAx>
        <c:axId val="185893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conc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74526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52729155730533683"/>
          <c:y val="0.52272376479255878"/>
          <c:w val="0.38659733158355203"/>
          <c:h val="0.22164018971312796"/>
        </c:manualLayout>
      </c:layout>
      <c:overlay val="1"/>
      <c:spPr>
        <a:solidFill>
          <a:sysClr val="window" lastClr="FFFFFF"/>
        </a:solidFill>
        <a:ln>
          <a:solidFill>
            <a:sysClr val="windowText" lastClr="000000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ch2o(aq)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1"/>
          <c:tx>
            <c:strRef>
              <c:f>results!$B$18</c:f>
              <c:strCache>
                <c:ptCount val="1"/>
                <c:pt idx="0">
                  <c:v>t=0.01d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results!$B$2:$K$2</c:f>
              <c:numCache>
                <c:formatCode>General</c:formatCode>
                <c:ptCount val="10"/>
                <c:pt idx="0">
                  <c:v>0.05</c:v>
                </c:pt>
                <c:pt idx="1">
                  <c:v>0.15000000000000002</c:v>
                </c:pt>
                <c:pt idx="2">
                  <c:v>0.25</c:v>
                </c:pt>
                <c:pt idx="3">
                  <c:v>0.35000000000000003</c:v>
                </c:pt>
                <c:pt idx="4">
                  <c:v>0.45</c:v>
                </c:pt>
                <c:pt idx="5">
                  <c:v>0.55000000000000004</c:v>
                </c:pt>
                <c:pt idx="6">
                  <c:v>0.65</c:v>
                </c:pt>
                <c:pt idx="7">
                  <c:v>0.75</c:v>
                </c:pt>
                <c:pt idx="8">
                  <c:v>0.85000000000000009</c:v>
                </c:pt>
                <c:pt idx="9">
                  <c:v>0.95000000000000007</c:v>
                </c:pt>
              </c:numCache>
            </c:numRef>
          </c:xVal>
          <c:yVal>
            <c:numRef>
              <c:f>results!$B$21:$K$21</c:f>
              <c:numCache>
                <c:formatCode>0.00E+00</c:formatCode>
                <c:ptCount val="10"/>
                <c:pt idx="0">
                  <c:v>5.7157600000000003E-5</c:v>
                </c:pt>
                <c:pt idx="1">
                  <c:v>2.13267E-5</c:v>
                </c:pt>
                <c:pt idx="2">
                  <c:v>1.20588E-5</c:v>
                </c:pt>
                <c:pt idx="3">
                  <c:v>9.7379899999999999E-6</c:v>
                </c:pt>
                <c:pt idx="4">
                  <c:v>9.1637100000000007E-6</c:v>
                </c:pt>
                <c:pt idx="5">
                  <c:v>9.0221600000000004E-6</c:v>
                </c:pt>
                <c:pt idx="6">
                  <c:v>8.9873100000000002E-6</c:v>
                </c:pt>
                <c:pt idx="7">
                  <c:v>8.9787299999999997E-6</c:v>
                </c:pt>
                <c:pt idx="8">
                  <c:v>8.9766300000000001E-6</c:v>
                </c:pt>
                <c:pt idx="9">
                  <c:v>8.9761399999999997E-6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2B3-461C-92F2-AE37E1F51B64}"/>
            </c:ext>
          </c:extLst>
        </c:ser>
        <c:ser>
          <c:idx val="3"/>
          <c:order val="2"/>
          <c:tx>
            <c:strRef>
              <c:f>results!$B$35</c:f>
              <c:strCache>
                <c:ptCount val="1"/>
                <c:pt idx="0">
                  <c:v>t=0.02d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results!$B$2:$K$2</c:f>
              <c:numCache>
                <c:formatCode>General</c:formatCode>
                <c:ptCount val="10"/>
                <c:pt idx="0">
                  <c:v>0.05</c:v>
                </c:pt>
                <c:pt idx="1">
                  <c:v>0.15000000000000002</c:v>
                </c:pt>
                <c:pt idx="2">
                  <c:v>0.25</c:v>
                </c:pt>
                <c:pt idx="3">
                  <c:v>0.35000000000000003</c:v>
                </c:pt>
                <c:pt idx="4">
                  <c:v>0.45</c:v>
                </c:pt>
                <c:pt idx="5">
                  <c:v>0.55000000000000004</c:v>
                </c:pt>
                <c:pt idx="6">
                  <c:v>0.65</c:v>
                </c:pt>
                <c:pt idx="7">
                  <c:v>0.75</c:v>
                </c:pt>
                <c:pt idx="8">
                  <c:v>0.85000000000000009</c:v>
                </c:pt>
                <c:pt idx="9">
                  <c:v>0.95000000000000007</c:v>
                </c:pt>
              </c:numCache>
            </c:numRef>
          </c:xVal>
          <c:yVal>
            <c:numRef>
              <c:f>results!$B$38:$K$38</c:f>
              <c:numCache>
                <c:formatCode>0.00E+00</c:formatCode>
                <c:ptCount val="10"/>
                <c:pt idx="0">
                  <c:v>8.9578200000000002E-5</c:v>
                </c:pt>
                <c:pt idx="1">
                  <c:v>3.6749199999999997E-5</c:v>
                </c:pt>
                <c:pt idx="2">
                  <c:v>1.7526699999999999E-5</c:v>
                </c:pt>
                <c:pt idx="3">
                  <c:v>1.12862E-5</c:v>
                </c:pt>
                <c:pt idx="4">
                  <c:v>9.3929699999999993E-6</c:v>
                </c:pt>
                <c:pt idx="5">
                  <c:v>8.8414600000000006E-6</c:v>
                </c:pt>
                <c:pt idx="6">
                  <c:v>8.6849399999999999E-6</c:v>
                </c:pt>
                <c:pt idx="7">
                  <c:v>8.6413399999999992E-6</c:v>
                </c:pt>
                <c:pt idx="8">
                  <c:v>8.6294099999999998E-6</c:v>
                </c:pt>
                <c:pt idx="9">
                  <c:v>8.6263599999999999E-6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BD8-4528-BB5A-10CBFEEDE266}"/>
            </c:ext>
          </c:extLst>
        </c:ser>
        <c:ser>
          <c:idx val="2"/>
          <c:order val="3"/>
          <c:tx>
            <c:strRef>
              <c:f>results!$B$52</c:f>
              <c:strCache>
                <c:ptCount val="1"/>
                <c:pt idx="0">
                  <c:v>t=0.1d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results!$B$2:$K$2</c:f>
              <c:numCache>
                <c:formatCode>General</c:formatCode>
                <c:ptCount val="10"/>
                <c:pt idx="0">
                  <c:v>0.05</c:v>
                </c:pt>
                <c:pt idx="1">
                  <c:v>0.15000000000000002</c:v>
                </c:pt>
                <c:pt idx="2">
                  <c:v>0.25</c:v>
                </c:pt>
                <c:pt idx="3">
                  <c:v>0.35000000000000003</c:v>
                </c:pt>
                <c:pt idx="4">
                  <c:v>0.45</c:v>
                </c:pt>
                <c:pt idx="5">
                  <c:v>0.55000000000000004</c:v>
                </c:pt>
                <c:pt idx="6">
                  <c:v>0.65</c:v>
                </c:pt>
                <c:pt idx="7">
                  <c:v>0.75</c:v>
                </c:pt>
                <c:pt idx="8">
                  <c:v>0.85000000000000009</c:v>
                </c:pt>
                <c:pt idx="9">
                  <c:v>0.95000000000000007</c:v>
                </c:pt>
              </c:numCache>
            </c:numRef>
          </c:xVal>
          <c:yVal>
            <c:numRef>
              <c:f>results!$B$55:$K$55</c:f>
              <c:numCache>
                <c:formatCode>0.00E+00</c:formatCode>
                <c:ptCount val="10"/>
                <c:pt idx="0">
                  <c:v>1.7313300000000001E-4</c:v>
                </c:pt>
                <c:pt idx="1">
                  <c:v>1.07755E-4</c:v>
                </c:pt>
                <c:pt idx="2">
                  <c:v>6.6779400000000006E-5</c:v>
                </c:pt>
                <c:pt idx="3">
                  <c:v>4.1109200000000003E-5</c:v>
                </c:pt>
                <c:pt idx="4">
                  <c:v>2.5565500000000001E-5</c:v>
                </c:pt>
                <c:pt idx="5">
                  <c:v>1.6645899999999999E-5</c:v>
                </c:pt>
                <c:pt idx="6">
                  <c:v>1.18322E-5</c:v>
                </c:pt>
                <c:pt idx="7">
                  <c:v>9.3921699999999992E-6</c:v>
                </c:pt>
                <c:pt idx="8">
                  <c:v>8.2435899999999995E-6</c:v>
                </c:pt>
                <c:pt idx="9">
                  <c:v>7.7917700000000001E-6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483-45D9-9828-FEA024242CD4}"/>
            </c:ext>
          </c:extLst>
        </c:ser>
        <c:ser>
          <c:idx val="4"/>
          <c:order val="4"/>
          <c:tx>
            <c:strRef>
              <c:f>results!$B$69</c:f>
              <c:strCache>
                <c:ptCount val="1"/>
                <c:pt idx="0">
                  <c:v>t=1d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results!$B$2:$K$2</c:f>
              <c:numCache>
                <c:formatCode>General</c:formatCode>
                <c:ptCount val="10"/>
                <c:pt idx="0">
                  <c:v>0.05</c:v>
                </c:pt>
                <c:pt idx="1">
                  <c:v>0.15000000000000002</c:v>
                </c:pt>
                <c:pt idx="2">
                  <c:v>0.25</c:v>
                </c:pt>
                <c:pt idx="3">
                  <c:v>0.35000000000000003</c:v>
                </c:pt>
                <c:pt idx="4">
                  <c:v>0.45</c:v>
                </c:pt>
                <c:pt idx="5">
                  <c:v>0.55000000000000004</c:v>
                </c:pt>
                <c:pt idx="6">
                  <c:v>0.65</c:v>
                </c:pt>
                <c:pt idx="7">
                  <c:v>0.75</c:v>
                </c:pt>
                <c:pt idx="8">
                  <c:v>0.85000000000000009</c:v>
                </c:pt>
                <c:pt idx="9">
                  <c:v>0.95000000000000007</c:v>
                </c:pt>
              </c:numCache>
            </c:numRef>
          </c:xVal>
          <c:yVal>
            <c:numRef>
              <c:f>results!$B$72:$K$72</c:f>
              <c:numCache>
                <c:formatCode>0.00E+00</c:formatCode>
                <c:ptCount val="10"/>
                <c:pt idx="0">
                  <c:v>3.1724999999999999E-4</c:v>
                </c:pt>
                <c:pt idx="1">
                  <c:v>2.6399000000000003E-4</c:v>
                </c:pt>
                <c:pt idx="2">
                  <c:v>2.28383E-4</c:v>
                </c:pt>
                <c:pt idx="3">
                  <c:v>2.0163399999999999E-4</c:v>
                </c:pt>
                <c:pt idx="4">
                  <c:v>1.80082E-4</c:v>
                </c:pt>
                <c:pt idx="5">
                  <c:v>1.62263E-4</c:v>
                </c:pt>
                <c:pt idx="6">
                  <c:v>1.47699E-4</c:v>
                </c:pt>
                <c:pt idx="7">
                  <c:v>1.3637E-4</c:v>
                </c:pt>
                <c:pt idx="8">
                  <c:v>1.28479E-4</c:v>
                </c:pt>
                <c:pt idx="9">
                  <c:v>1.24342E-4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FEA-4EE6-80B8-668EAD3415EF}"/>
            </c:ext>
          </c:extLst>
        </c:ser>
        <c:ser>
          <c:idx val="5"/>
          <c:order val="5"/>
          <c:tx>
            <c:strRef>
              <c:f>results!$B$86:$K$86</c:f>
              <c:strCache>
                <c:ptCount val="10"/>
                <c:pt idx="0">
                  <c:v>t=5d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results!$B$2:$K$2</c:f>
              <c:numCache>
                <c:formatCode>General</c:formatCode>
                <c:ptCount val="10"/>
                <c:pt idx="0">
                  <c:v>0.05</c:v>
                </c:pt>
                <c:pt idx="1">
                  <c:v>0.15000000000000002</c:v>
                </c:pt>
                <c:pt idx="2">
                  <c:v>0.25</c:v>
                </c:pt>
                <c:pt idx="3">
                  <c:v>0.35000000000000003</c:v>
                </c:pt>
                <c:pt idx="4">
                  <c:v>0.45</c:v>
                </c:pt>
                <c:pt idx="5">
                  <c:v>0.55000000000000004</c:v>
                </c:pt>
                <c:pt idx="6">
                  <c:v>0.65</c:v>
                </c:pt>
                <c:pt idx="7">
                  <c:v>0.75</c:v>
                </c:pt>
                <c:pt idx="8">
                  <c:v>0.85000000000000009</c:v>
                </c:pt>
                <c:pt idx="9">
                  <c:v>0.95000000000000007</c:v>
                </c:pt>
              </c:numCache>
            </c:numRef>
          </c:xVal>
          <c:yVal>
            <c:numRef>
              <c:f>results!$B$89:$K$89</c:f>
              <c:numCache>
                <c:formatCode>0.000000E+00</c:formatCode>
                <c:ptCount val="10"/>
                <c:pt idx="0">
                  <c:v>5.0396299999999996E-4</c:v>
                </c:pt>
                <c:pt idx="1">
                  <c:v>4.7437E-4</c:v>
                </c:pt>
                <c:pt idx="2" formatCode="0.00E+00">
                  <c:v>4.6058900000000002E-4</c:v>
                </c:pt>
                <c:pt idx="3" formatCode="0.00E+00">
                  <c:v>4.5326399999999999E-4</c:v>
                </c:pt>
                <c:pt idx="4" formatCode="0.00E+00">
                  <c:v>4.4871100000000002E-4</c:v>
                </c:pt>
                <c:pt idx="5" formatCode="0.00E+00">
                  <c:v>4.4548400000000001E-4</c:v>
                </c:pt>
                <c:pt idx="6" formatCode="0.00E+00">
                  <c:v>4.4304000000000001E-4</c:v>
                </c:pt>
                <c:pt idx="7" formatCode="0.00E+00">
                  <c:v>4.4120200000000002E-4</c:v>
                </c:pt>
                <c:pt idx="8" formatCode="0.00E+00">
                  <c:v>4.3993800000000002E-4</c:v>
                </c:pt>
                <c:pt idx="9" formatCode="0.00E+00">
                  <c:v>4.3927799999999998E-4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217-4DB0-991E-0CCBDF50C5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57452688"/>
        <c:axId val="185893712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results!$B$5</c15:sqref>
                        </c15:formulaRef>
                      </c:ext>
                    </c:extLst>
                    <c:strCache>
                      <c:ptCount val="1"/>
                      <c:pt idx="0">
                        <c:v>t=0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results!$B$2:$K$2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0.05</c:v>
                      </c:pt>
                      <c:pt idx="1">
                        <c:v>0.15000000000000002</c:v>
                      </c:pt>
                      <c:pt idx="2">
                        <c:v>0.25</c:v>
                      </c:pt>
                      <c:pt idx="3">
                        <c:v>0.35000000000000003</c:v>
                      </c:pt>
                      <c:pt idx="4">
                        <c:v>0.45</c:v>
                      </c:pt>
                      <c:pt idx="5">
                        <c:v>0.55000000000000004</c:v>
                      </c:pt>
                      <c:pt idx="6">
                        <c:v>0.65</c:v>
                      </c:pt>
                      <c:pt idx="7">
                        <c:v>0.75</c:v>
                      </c:pt>
                      <c:pt idx="8">
                        <c:v>0.85000000000000009</c:v>
                      </c:pt>
                      <c:pt idx="9">
                        <c:v>0.95000000000000007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results!$B$8:$K$8</c15:sqref>
                        </c15:formulaRef>
                      </c:ext>
                    </c:extLst>
                    <c:numCache>
                      <c:formatCode>0.00E+00</c:formatCode>
                      <c:ptCount val="10"/>
                      <c:pt idx="0">
                        <c:v>1.0000000000000001E-5</c:v>
                      </c:pt>
                      <c:pt idx="1">
                        <c:v>1.0000000000000001E-5</c:v>
                      </c:pt>
                      <c:pt idx="2">
                        <c:v>1.0000000000000001E-5</c:v>
                      </c:pt>
                      <c:pt idx="3">
                        <c:v>1.0000000000000001E-5</c:v>
                      </c:pt>
                      <c:pt idx="4">
                        <c:v>1.0000000000000001E-5</c:v>
                      </c:pt>
                      <c:pt idx="5">
                        <c:v>1.0000000000000001E-5</c:v>
                      </c:pt>
                      <c:pt idx="6">
                        <c:v>1.0000000000000001E-5</c:v>
                      </c:pt>
                      <c:pt idx="7">
                        <c:v>1.0000000000000001E-5</c:v>
                      </c:pt>
                      <c:pt idx="8">
                        <c:v>1.0000000000000001E-5</c:v>
                      </c:pt>
                      <c:pt idx="9">
                        <c:v>1.0000000000000001E-5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E2B3-461C-92F2-AE37E1F51B64}"/>
                  </c:ext>
                </c:extLst>
              </c15:ser>
            </c15:filteredScatterSeries>
          </c:ext>
        </c:extLst>
      </c:scatterChart>
      <c:valAx>
        <c:axId val="20574526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893712"/>
        <c:crosses val="autoZero"/>
        <c:crossBetween val="midCat"/>
      </c:valAx>
      <c:valAx>
        <c:axId val="185893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conc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74526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0784711286089244"/>
          <c:y val="0.40108633789197401"/>
          <c:w val="0.31159733158355202"/>
          <c:h val="0.19357001427453147"/>
        </c:manualLayout>
      </c:layout>
      <c:overlay val="1"/>
      <c:spPr>
        <a:solidFill>
          <a:sysClr val="window" lastClr="FFFFFF"/>
        </a:solidFill>
        <a:ln>
          <a:solidFill>
            <a:sysClr val="windowText" lastClr="000000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hco3-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1"/>
          <c:tx>
            <c:strRef>
              <c:f>results!$B$18</c:f>
              <c:strCache>
                <c:ptCount val="1"/>
                <c:pt idx="0">
                  <c:v>t=0.01d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results!$B$2:$K$2</c:f>
              <c:numCache>
                <c:formatCode>General</c:formatCode>
                <c:ptCount val="10"/>
                <c:pt idx="0">
                  <c:v>0.05</c:v>
                </c:pt>
                <c:pt idx="1">
                  <c:v>0.15000000000000002</c:v>
                </c:pt>
                <c:pt idx="2">
                  <c:v>0.25</c:v>
                </c:pt>
                <c:pt idx="3">
                  <c:v>0.35000000000000003</c:v>
                </c:pt>
                <c:pt idx="4">
                  <c:v>0.45</c:v>
                </c:pt>
                <c:pt idx="5">
                  <c:v>0.55000000000000004</c:v>
                </c:pt>
                <c:pt idx="6">
                  <c:v>0.65</c:v>
                </c:pt>
                <c:pt idx="7">
                  <c:v>0.75</c:v>
                </c:pt>
                <c:pt idx="8">
                  <c:v>0.85000000000000009</c:v>
                </c:pt>
                <c:pt idx="9">
                  <c:v>0.95000000000000007</c:v>
                </c:pt>
              </c:numCache>
            </c:numRef>
          </c:xVal>
          <c:yVal>
            <c:numRef>
              <c:f>results!$B$26:$K$26</c:f>
              <c:numCache>
                <c:formatCode>0.00E+00</c:formatCode>
                <c:ptCount val="10"/>
                <c:pt idx="0">
                  <c:v>1.0080899999999999E-3</c:v>
                </c:pt>
                <c:pt idx="1">
                  <c:v>1.0027899999999999E-3</c:v>
                </c:pt>
                <c:pt idx="2">
                  <c:v>1.00204E-3</c:v>
                </c:pt>
                <c:pt idx="3">
                  <c:v>1.0019199999999999E-3</c:v>
                </c:pt>
                <c:pt idx="4">
                  <c:v>1.0018900000000001E-3</c:v>
                </c:pt>
                <c:pt idx="5">
                  <c:v>1.0018799999999999E-3</c:v>
                </c:pt>
                <c:pt idx="6">
                  <c:v>1.0018799999999999E-3</c:v>
                </c:pt>
                <c:pt idx="7">
                  <c:v>1.0018799999999999E-3</c:v>
                </c:pt>
                <c:pt idx="8">
                  <c:v>1.0018799999999999E-3</c:v>
                </c:pt>
                <c:pt idx="9">
                  <c:v>1.0018799999999999E-3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3F6-4A22-A2BD-2456A662CB45}"/>
            </c:ext>
          </c:extLst>
        </c:ser>
        <c:ser>
          <c:idx val="3"/>
          <c:order val="2"/>
          <c:tx>
            <c:strRef>
              <c:f>results!$B$35</c:f>
              <c:strCache>
                <c:ptCount val="1"/>
                <c:pt idx="0">
                  <c:v>t=0.02d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results!$B$2:$K$2</c:f>
              <c:numCache>
                <c:formatCode>General</c:formatCode>
                <c:ptCount val="10"/>
                <c:pt idx="0">
                  <c:v>0.05</c:v>
                </c:pt>
                <c:pt idx="1">
                  <c:v>0.15000000000000002</c:v>
                </c:pt>
                <c:pt idx="2">
                  <c:v>0.25</c:v>
                </c:pt>
                <c:pt idx="3">
                  <c:v>0.35000000000000003</c:v>
                </c:pt>
                <c:pt idx="4">
                  <c:v>0.45</c:v>
                </c:pt>
                <c:pt idx="5">
                  <c:v>0.55000000000000004</c:v>
                </c:pt>
                <c:pt idx="6">
                  <c:v>0.65</c:v>
                </c:pt>
                <c:pt idx="7">
                  <c:v>0.75</c:v>
                </c:pt>
                <c:pt idx="8">
                  <c:v>0.85000000000000009</c:v>
                </c:pt>
                <c:pt idx="9">
                  <c:v>0.95000000000000007</c:v>
                </c:pt>
              </c:numCache>
            </c:numRef>
          </c:xVal>
          <c:yVal>
            <c:numRef>
              <c:f>results!$B$43:$K$43</c:f>
              <c:numCache>
                <c:formatCode>0.00E+00</c:formatCode>
                <c:ptCount val="10"/>
                <c:pt idx="0">
                  <c:v>1.02045E-3</c:v>
                </c:pt>
                <c:pt idx="1">
                  <c:v>1.0067699999999999E-3</c:v>
                </c:pt>
                <c:pt idx="2">
                  <c:v>1.00351E-3</c:v>
                </c:pt>
                <c:pt idx="3">
                  <c:v>1.0027199999999999E-3</c:v>
                </c:pt>
                <c:pt idx="4">
                  <c:v>1.0024999999999999E-3</c:v>
                </c:pt>
                <c:pt idx="5">
                  <c:v>1.0024400000000001E-3</c:v>
                </c:pt>
                <c:pt idx="6">
                  <c:v>1.0024299999999999E-3</c:v>
                </c:pt>
                <c:pt idx="7">
                  <c:v>1.00242E-3</c:v>
                </c:pt>
                <c:pt idx="8">
                  <c:v>1.00242E-3</c:v>
                </c:pt>
                <c:pt idx="9">
                  <c:v>1.00242E-3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DBE-4BE2-9B5B-ADA7C52DC2E5}"/>
            </c:ext>
          </c:extLst>
        </c:ser>
        <c:ser>
          <c:idx val="2"/>
          <c:order val="3"/>
          <c:tx>
            <c:strRef>
              <c:f>results!$B$52</c:f>
              <c:strCache>
                <c:ptCount val="1"/>
                <c:pt idx="0">
                  <c:v>t=0.1d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results!$B$2:$K$2</c:f>
              <c:numCache>
                <c:formatCode>General</c:formatCode>
                <c:ptCount val="10"/>
                <c:pt idx="0">
                  <c:v>0.05</c:v>
                </c:pt>
                <c:pt idx="1">
                  <c:v>0.15000000000000002</c:v>
                </c:pt>
                <c:pt idx="2">
                  <c:v>0.25</c:v>
                </c:pt>
                <c:pt idx="3">
                  <c:v>0.35000000000000003</c:v>
                </c:pt>
                <c:pt idx="4">
                  <c:v>0.45</c:v>
                </c:pt>
                <c:pt idx="5">
                  <c:v>0.55000000000000004</c:v>
                </c:pt>
                <c:pt idx="6">
                  <c:v>0.65</c:v>
                </c:pt>
                <c:pt idx="7">
                  <c:v>0.75</c:v>
                </c:pt>
                <c:pt idx="8">
                  <c:v>0.85000000000000009</c:v>
                </c:pt>
                <c:pt idx="9">
                  <c:v>0.95000000000000007</c:v>
                </c:pt>
              </c:numCache>
            </c:numRef>
          </c:xVal>
          <c:yVal>
            <c:numRef>
              <c:f>results!$B$60:$K$60</c:f>
              <c:numCache>
                <c:formatCode>0.00E+00</c:formatCode>
                <c:ptCount val="10"/>
                <c:pt idx="0">
                  <c:v>1.1571999999999999E-3</c:v>
                </c:pt>
                <c:pt idx="1">
                  <c:v>1.1055399999999999E-3</c:v>
                </c:pt>
                <c:pt idx="2">
                  <c:v>1.06361E-3</c:v>
                </c:pt>
                <c:pt idx="3">
                  <c:v>1.0360199999999999E-3</c:v>
                </c:pt>
                <c:pt idx="4">
                  <c:v>1.0200999999999999E-3</c:v>
                </c:pt>
                <c:pt idx="5">
                  <c:v>1.0117100000000001E-3</c:v>
                </c:pt>
                <c:pt idx="6">
                  <c:v>1.0075800000000001E-3</c:v>
                </c:pt>
                <c:pt idx="7">
                  <c:v>1.0056500000000001E-3</c:v>
                </c:pt>
                <c:pt idx="8">
                  <c:v>1.0047999999999999E-3</c:v>
                </c:pt>
                <c:pt idx="9">
                  <c:v>1.0044800000000001E-3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F61-42C4-BF71-6C792B0DE9A4}"/>
            </c:ext>
          </c:extLst>
        </c:ser>
        <c:ser>
          <c:idx val="4"/>
          <c:order val="4"/>
          <c:tx>
            <c:strRef>
              <c:f>results!$B$69</c:f>
              <c:strCache>
                <c:ptCount val="1"/>
                <c:pt idx="0">
                  <c:v>t=1d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results!$B$2:$K$2</c:f>
              <c:numCache>
                <c:formatCode>General</c:formatCode>
                <c:ptCount val="10"/>
                <c:pt idx="0">
                  <c:v>0.05</c:v>
                </c:pt>
                <c:pt idx="1">
                  <c:v>0.15000000000000002</c:v>
                </c:pt>
                <c:pt idx="2">
                  <c:v>0.25</c:v>
                </c:pt>
                <c:pt idx="3">
                  <c:v>0.35000000000000003</c:v>
                </c:pt>
                <c:pt idx="4">
                  <c:v>0.45</c:v>
                </c:pt>
                <c:pt idx="5">
                  <c:v>0.55000000000000004</c:v>
                </c:pt>
                <c:pt idx="6">
                  <c:v>0.65</c:v>
                </c:pt>
                <c:pt idx="7">
                  <c:v>0.75</c:v>
                </c:pt>
                <c:pt idx="8">
                  <c:v>0.85000000000000009</c:v>
                </c:pt>
                <c:pt idx="9">
                  <c:v>0.95000000000000007</c:v>
                </c:pt>
              </c:numCache>
            </c:numRef>
          </c:xVal>
          <c:yVal>
            <c:numRef>
              <c:f>results!$B$77:$K$77</c:f>
              <c:numCache>
                <c:formatCode>0.00E+00</c:formatCode>
                <c:ptCount val="10"/>
                <c:pt idx="0">
                  <c:v>1.74249E-3</c:v>
                </c:pt>
                <c:pt idx="1">
                  <c:v>1.7122999999999999E-3</c:v>
                </c:pt>
                <c:pt idx="2">
                  <c:v>1.6650300000000001E-3</c:v>
                </c:pt>
                <c:pt idx="3">
                  <c:v>1.6127400000000001E-3</c:v>
                </c:pt>
                <c:pt idx="4">
                  <c:v>1.5613599999999999E-3</c:v>
                </c:pt>
                <c:pt idx="5">
                  <c:v>1.5142300000000001E-3</c:v>
                </c:pt>
                <c:pt idx="6">
                  <c:v>1.4735200000000001E-3</c:v>
                </c:pt>
                <c:pt idx="7">
                  <c:v>1.44092E-3</c:v>
                </c:pt>
                <c:pt idx="8">
                  <c:v>1.4178400000000001E-3</c:v>
                </c:pt>
                <c:pt idx="9">
                  <c:v>1.40566E-3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AF3-4EDA-8A18-18DB39FD4AAF}"/>
            </c:ext>
          </c:extLst>
        </c:ser>
        <c:ser>
          <c:idx val="5"/>
          <c:order val="5"/>
          <c:tx>
            <c:strRef>
              <c:f>results!$B$86</c:f>
              <c:strCache>
                <c:ptCount val="1"/>
                <c:pt idx="0">
                  <c:v>t=5d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results!$B$2:$K$2</c:f>
              <c:numCache>
                <c:formatCode>General</c:formatCode>
                <c:ptCount val="10"/>
                <c:pt idx="0">
                  <c:v>0.05</c:v>
                </c:pt>
                <c:pt idx="1">
                  <c:v>0.15000000000000002</c:v>
                </c:pt>
                <c:pt idx="2">
                  <c:v>0.25</c:v>
                </c:pt>
                <c:pt idx="3">
                  <c:v>0.35000000000000003</c:v>
                </c:pt>
                <c:pt idx="4">
                  <c:v>0.45</c:v>
                </c:pt>
                <c:pt idx="5">
                  <c:v>0.55000000000000004</c:v>
                </c:pt>
                <c:pt idx="6">
                  <c:v>0.65</c:v>
                </c:pt>
                <c:pt idx="7">
                  <c:v>0.75</c:v>
                </c:pt>
                <c:pt idx="8">
                  <c:v>0.85000000000000009</c:v>
                </c:pt>
                <c:pt idx="9">
                  <c:v>0.95000000000000007</c:v>
                </c:pt>
              </c:numCache>
            </c:numRef>
          </c:xVal>
          <c:yVal>
            <c:numRef>
              <c:f>results!$B$94:$K$94</c:f>
              <c:numCache>
                <c:formatCode>0.000000E+00</c:formatCode>
                <c:ptCount val="10"/>
                <c:pt idx="0">
                  <c:v>2.3785799999999999E-3</c:v>
                </c:pt>
                <c:pt idx="1">
                  <c:v>2.3995700000000002E-3</c:v>
                </c:pt>
                <c:pt idx="2" formatCode="0.00E+00">
                  <c:v>2.4021400000000001E-3</c:v>
                </c:pt>
                <c:pt idx="3" formatCode="0.00E+00">
                  <c:v>2.3977600000000001E-3</c:v>
                </c:pt>
                <c:pt idx="4" formatCode="0.00E+00">
                  <c:v>2.3911200000000001E-3</c:v>
                </c:pt>
                <c:pt idx="5" formatCode="0.00E+00">
                  <c:v>2.3841999999999999E-3</c:v>
                </c:pt>
                <c:pt idx="6" formatCode="0.00E+00">
                  <c:v>2.3779199999999999E-3</c:v>
                </c:pt>
                <c:pt idx="7" formatCode="0.00E+00">
                  <c:v>2.3727900000000001E-3</c:v>
                </c:pt>
                <c:pt idx="8" formatCode="0.00E+00">
                  <c:v>2.3691300000000001E-3</c:v>
                </c:pt>
                <c:pt idx="9" formatCode="0.00E+00">
                  <c:v>2.36718E-3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6B5-4D61-85E6-05B02D06E0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57452688"/>
        <c:axId val="185893712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results!$B$5</c15:sqref>
                        </c15:formulaRef>
                      </c:ext>
                    </c:extLst>
                    <c:strCache>
                      <c:ptCount val="1"/>
                      <c:pt idx="0">
                        <c:v>t=0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results!$B$2:$K$2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0.05</c:v>
                      </c:pt>
                      <c:pt idx="1">
                        <c:v>0.15000000000000002</c:v>
                      </c:pt>
                      <c:pt idx="2">
                        <c:v>0.25</c:v>
                      </c:pt>
                      <c:pt idx="3">
                        <c:v>0.35000000000000003</c:v>
                      </c:pt>
                      <c:pt idx="4">
                        <c:v>0.45</c:v>
                      </c:pt>
                      <c:pt idx="5">
                        <c:v>0.55000000000000004</c:v>
                      </c:pt>
                      <c:pt idx="6">
                        <c:v>0.65</c:v>
                      </c:pt>
                      <c:pt idx="7">
                        <c:v>0.75</c:v>
                      </c:pt>
                      <c:pt idx="8">
                        <c:v>0.85000000000000009</c:v>
                      </c:pt>
                      <c:pt idx="9">
                        <c:v>0.95000000000000007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results!$B$13:$K$13</c15:sqref>
                        </c15:formulaRef>
                      </c:ext>
                    </c:extLst>
                    <c:numCache>
                      <c:formatCode>0.00E+00</c:formatCode>
                      <c:ptCount val="10"/>
                      <c:pt idx="0">
                        <c:v>1E-3</c:v>
                      </c:pt>
                      <c:pt idx="1">
                        <c:v>1E-3</c:v>
                      </c:pt>
                      <c:pt idx="2">
                        <c:v>1E-3</c:v>
                      </c:pt>
                      <c:pt idx="3">
                        <c:v>1E-3</c:v>
                      </c:pt>
                      <c:pt idx="4">
                        <c:v>1E-3</c:v>
                      </c:pt>
                      <c:pt idx="5">
                        <c:v>1E-3</c:v>
                      </c:pt>
                      <c:pt idx="6">
                        <c:v>1E-3</c:v>
                      </c:pt>
                      <c:pt idx="7">
                        <c:v>1E-3</c:v>
                      </c:pt>
                      <c:pt idx="8">
                        <c:v>1E-3</c:v>
                      </c:pt>
                      <c:pt idx="9">
                        <c:v>1E-3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03F6-4A22-A2BD-2456A662CB45}"/>
                  </c:ext>
                </c:extLst>
              </c15:ser>
            </c15:filteredScatterSeries>
          </c:ext>
        </c:extLst>
      </c:scatterChart>
      <c:valAx>
        <c:axId val="20574526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893712"/>
        <c:crosses val="autoZero"/>
        <c:crossBetween val="midCat"/>
      </c:valAx>
      <c:valAx>
        <c:axId val="185893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conc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74526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1895822397200362"/>
          <c:y val="0.60898135101533357"/>
          <c:w val="0.3310417760279965"/>
          <c:h val="0.18421328912833265"/>
        </c:manualLayout>
      </c:layout>
      <c:overlay val="1"/>
      <c:spPr>
        <a:solidFill>
          <a:sysClr val="window" lastClr="FFFFFF"/>
        </a:solidFill>
        <a:ln>
          <a:solidFill>
            <a:sysClr val="windowText" lastClr="000000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no3-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1"/>
          <c:tx>
            <c:strRef>
              <c:f>results!$B$18</c:f>
              <c:strCache>
                <c:ptCount val="1"/>
                <c:pt idx="0">
                  <c:v>t=0.01d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results!$B$2:$K$2</c:f>
              <c:numCache>
                <c:formatCode>General</c:formatCode>
                <c:ptCount val="10"/>
                <c:pt idx="0">
                  <c:v>0.05</c:v>
                </c:pt>
                <c:pt idx="1">
                  <c:v>0.15000000000000002</c:v>
                </c:pt>
                <c:pt idx="2">
                  <c:v>0.25</c:v>
                </c:pt>
                <c:pt idx="3">
                  <c:v>0.35000000000000003</c:v>
                </c:pt>
                <c:pt idx="4">
                  <c:v>0.45</c:v>
                </c:pt>
                <c:pt idx="5">
                  <c:v>0.55000000000000004</c:v>
                </c:pt>
                <c:pt idx="6">
                  <c:v>0.65</c:v>
                </c:pt>
                <c:pt idx="7">
                  <c:v>0.75</c:v>
                </c:pt>
                <c:pt idx="8">
                  <c:v>0.85000000000000009</c:v>
                </c:pt>
                <c:pt idx="9">
                  <c:v>0.95000000000000007</c:v>
                </c:pt>
              </c:numCache>
            </c:numRef>
          </c:xVal>
          <c:yVal>
            <c:numRef>
              <c:f>results!$B$23:$K$23</c:f>
              <c:numCache>
                <c:formatCode>0.00E+00</c:formatCode>
                <c:ptCount val="10"/>
                <c:pt idx="0">
                  <c:v>3.6190099999999998E-5</c:v>
                </c:pt>
                <c:pt idx="1">
                  <c:v>1.6682500000000002E-5</c:v>
                </c:pt>
                <c:pt idx="2">
                  <c:v>1.1544300000000001E-5</c:v>
                </c:pt>
                <c:pt idx="3">
                  <c:v>1.0254900000000001E-5</c:v>
                </c:pt>
                <c:pt idx="4">
                  <c:v>9.9359400000000003E-6</c:v>
                </c:pt>
                <c:pt idx="5">
                  <c:v>9.8573400000000007E-6</c:v>
                </c:pt>
                <c:pt idx="6">
                  <c:v>9.8379900000000007E-6</c:v>
                </c:pt>
                <c:pt idx="7">
                  <c:v>9.8332299999999997E-6</c:v>
                </c:pt>
                <c:pt idx="8">
                  <c:v>9.8320599999999992E-6</c:v>
                </c:pt>
                <c:pt idx="9">
                  <c:v>9.8317900000000006E-6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9CE-47DA-8698-989A2F5A052E}"/>
            </c:ext>
          </c:extLst>
        </c:ser>
        <c:ser>
          <c:idx val="3"/>
          <c:order val="2"/>
          <c:tx>
            <c:strRef>
              <c:f>results!$B$35</c:f>
              <c:strCache>
                <c:ptCount val="1"/>
                <c:pt idx="0">
                  <c:v>t=0.02d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results!$B$2:$K$2</c:f>
              <c:numCache>
                <c:formatCode>General</c:formatCode>
                <c:ptCount val="10"/>
                <c:pt idx="0">
                  <c:v>0.05</c:v>
                </c:pt>
                <c:pt idx="1">
                  <c:v>0.15000000000000002</c:v>
                </c:pt>
                <c:pt idx="2">
                  <c:v>0.25</c:v>
                </c:pt>
                <c:pt idx="3">
                  <c:v>0.35000000000000003</c:v>
                </c:pt>
                <c:pt idx="4">
                  <c:v>0.45</c:v>
                </c:pt>
                <c:pt idx="5">
                  <c:v>0.55000000000000004</c:v>
                </c:pt>
                <c:pt idx="6">
                  <c:v>0.65</c:v>
                </c:pt>
                <c:pt idx="7">
                  <c:v>0.75</c:v>
                </c:pt>
                <c:pt idx="8">
                  <c:v>0.85000000000000009</c:v>
                </c:pt>
                <c:pt idx="9">
                  <c:v>0.95000000000000007</c:v>
                </c:pt>
              </c:numCache>
            </c:numRef>
          </c:xVal>
          <c:yVal>
            <c:numRef>
              <c:f>results!$B$40:$K$40</c:f>
              <c:numCache>
                <c:formatCode>0.00E+00</c:formatCode>
                <c:ptCount val="10"/>
                <c:pt idx="0">
                  <c:v>5.25978E-5</c:v>
                </c:pt>
                <c:pt idx="1">
                  <c:v>2.4921300000000001E-5</c:v>
                </c:pt>
                <c:pt idx="2">
                  <c:v>1.4542099999999999E-5</c:v>
                </c:pt>
                <c:pt idx="3">
                  <c:v>1.11321E-5</c:v>
                </c:pt>
                <c:pt idx="4">
                  <c:v>1.00937E-5</c:v>
                </c:pt>
                <c:pt idx="5">
                  <c:v>9.7907299999999997E-6</c:v>
                </c:pt>
                <c:pt idx="6">
                  <c:v>9.7046399999999996E-6</c:v>
                </c:pt>
                <c:pt idx="7">
                  <c:v>9.6806399999999995E-6</c:v>
                </c:pt>
                <c:pt idx="8">
                  <c:v>9.67406E-6</c:v>
                </c:pt>
                <c:pt idx="9">
                  <c:v>9.6723900000000001E-6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EF8-4862-B9B4-6F49EE9426FB}"/>
            </c:ext>
          </c:extLst>
        </c:ser>
        <c:ser>
          <c:idx val="2"/>
          <c:order val="3"/>
          <c:tx>
            <c:strRef>
              <c:f>results!$B$52</c:f>
              <c:strCache>
                <c:ptCount val="1"/>
                <c:pt idx="0">
                  <c:v>t=0.1d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results!$B$2:$K$2</c:f>
              <c:numCache>
                <c:formatCode>General</c:formatCode>
                <c:ptCount val="10"/>
                <c:pt idx="0">
                  <c:v>0.05</c:v>
                </c:pt>
                <c:pt idx="1">
                  <c:v>0.15000000000000002</c:v>
                </c:pt>
                <c:pt idx="2">
                  <c:v>0.25</c:v>
                </c:pt>
                <c:pt idx="3">
                  <c:v>0.35000000000000003</c:v>
                </c:pt>
                <c:pt idx="4">
                  <c:v>0.45</c:v>
                </c:pt>
                <c:pt idx="5">
                  <c:v>0.55000000000000004</c:v>
                </c:pt>
                <c:pt idx="6">
                  <c:v>0.65</c:v>
                </c:pt>
                <c:pt idx="7">
                  <c:v>0.75</c:v>
                </c:pt>
                <c:pt idx="8">
                  <c:v>0.85000000000000009</c:v>
                </c:pt>
                <c:pt idx="9">
                  <c:v>0.95000000000000007</c:v>
                </c:pt>
              </c:numCache>
            </c:numRef>
          </c:xVal>
          <c:yVal>
            <c:numRef>
              <c:f>results!$B$57:$K$57</c:f>
              <c:numCache>
                <c:formatCode>0.00E+00</c:formatCode>
                <c:ptCount val="10"/>
                <c:pt idx="0">
                  <c:v>7.4906499999999998E-5</c:v>
                </c:pt>
                <c:pt idx="1">
                  <c:v>4.7163500000000003E-5</c:v>
                </c:pt>
                <c:pt idx="2">
                  <c:v>3.1558199999999999E-5</c:v>
                </c:pt>
                <c:pt idx="3">
                  <c:v>2.2023900000000001E-5</c:v>
                </c:pt>
                <c:pt idx="4">
                  <c:v>1.6101100000000001E-5</c:v>
                </c:pt>
                <c:pt idx="5">
                  <c:v>1.25601E-5</c:v>
                </c:pt>
                <c:pt idx="6">
                  <c:v>1.0574700000000001E-5</c:v>
                </c:pt>
                <c:pt idx="7">
                  <c:v>9.5374400000000006E-6</c:v>
                </c:pt>
                <c:pt idx="8">
                  <c:v>9.0382999999999995E-6</c:v>
                </c:pt>
                <c:pt idx="9">
                  <c:v>8.8391699999999996E-6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E0A-4ACE-8D85-912DCD3AE3D2}"/>
            </c:ext>
          </c:extLst>
        </c:ser>
        <c:ser>
          <c:idx val="4"/>
          <c:order val="4"/>
          <c:tx>
            <c:strRef>
              <c:f>results!$B$69</c:f>
              <c:strCache>
                <c:ptCount val="1"/>
                <c:pt idx="0">
                  <c:v>t=1d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results!$B$2:$K$2</c:f>
              <c:numCache>
                <c:formatCode>General</c:formatCode>
                <c:ptCount val="10"/>
                <c:pt idx="0">
                  <c:v>0.05</c:v>
                </c:pt>
                <c:pt idx="1">
                  <c:v>0.15000000000000002</c:v>
                </c:pt>
                <c:pt idx="2">
                  <c:v>0.25</c:v>
                </c:pt>
                <c:pt idx="3">
                  <c:v>0.35000000000000003</c:v>
                </c:pt>
                <c:pt idx="4">
                  <c:v>0.45</c:v>
                </c:pt>
                <c:pt idx="5">
                  <c:v>0.55000000000000004</c:v>
                </c:pt>
                <c:pt idx="6">
                  <c:v>0.65</c:v>
                </c:pt>
                <c:pt idx="7">
                  <c:v>0.75</c:v>
                </c:pt>
                <c:pt idx="8">
                  <c:v>0.85000000000000009</c:v>
                </c:pt>
                <c:pt idx="9">
                  <c:v>0.95000000000000007</c:v>
                </c:pt>
              </c:numCache>
            </c:numRef>
          </c:xVal>
          <c:yVal>
            <c:numRef>
              <c:f>results!$B$74:$K$74</c:f>
              <c:numCache>
                <c:formatCode>0.00E+00</c:formatCode>
                <c:ptCount val="10"/>
                <c:pt idx="0">
                  <c:v>4.7495399999999999E-5</c:v>
                </c:pt>
                <c:pt idx="1">
                  <c:v>2.2646999999999998E-5</c:v>
                </c:pt>
                <c:pt idx="2">
                  <c:v>1.11162E-5</c:v>
                </c:pt>
                <c:pt idx="3">
                  <c:v>5.6078199999999996E-6</c:v>
                </c:pt>
                <c:pt idx="4">
                  <c:v>2.9086899999999999E-6</c:v>
                </c:pt>
                <c:pt idx="5">
                  <c:v>1.5521600000000001E-6</c:v>
                </c:pt>
                <c:pt idx="6">
                  <c:v>8.5399199999999999E-7</c:v>
                </c:pt>
                <c:pt idx="7">
                  <c:v>4.8931900000000002E-7</c:v>
                </c:pt>
                <c:pt idx="8">
                  <c:v>3.0268000000000001E-7</c:v>
                </c:pt>
                <c:pt idx="9">
                  <c:v>2.22211E-7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0E1-402D-A0B4-0C3A5A1C6B7F}"/>
            </c:ext>
          </c:extLst>
        </c:ser>
        <c:ser>
          <c:idx val="5"/>
          <c:order val="5"/>
          <c:tx>
            <c:strRef>
              <c:f>results!$B$86</c:f>
              <c:strCache>
                <c:ptCount val="1"/>
                <c:pt idx="0">
                  <c:v>t=5d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results!$B$2:$K$2</c:f>
              <c:numCache>
                <c:formatCode>General</c:formatCode>
                <c:ptCount val="10"/>
                <c:pt idx="0">
                  <c:v>0.05</c:v>
                </c:pt>
                <c:pt idx="1">
                  <c:v>0.15000000000000002</c:v>
                </c:pt>
                <c:pt idx="2">
                  <c:v>0.25</c:v>
                </c:pt>
                <c:pt idx="3">
                  <c:v>0.35000000000000003</c:v>
                </c:pt>
                <c:pt idx="4">
                  <c:v>0.45</c:v>
                </c:pt>
                <c:pt idx="5">
                  <c:v>0.55000000000000004</c:v>
                </c:pt>
                <c:pt idx="6">
                  <c:v>0.65</c:v>
                </c:pt>
                <c:pt idx="7">
                  <c:v>0.75</c:v>
                </c:pt>
                <c:pt idx="8">
                  <c:v>0.85000000000000009</c:v>
                </c:pt>
                <c:pt idx="9">
                  <c:v>0.95000000000000007</c:v>
                </c:pt>
              </c:numCache>
            </c:numRef>
          </c:xVal>
          <c:yVal>
            <c:numRef>
              <c:f>results!$B$91:$K$91</c:f>
              <c:numCache>
                <c:formatCode>0.000000E+00</c:formatCode>
                <c:ptCount val="10"/>
                <c:pt idx="0">
                  <c:v>3.4959100000000002E-5</c:v>
                </c:pt>
                <c:pt idx="1">
                  <c:v>1.40518E-5</c:v>
                </c:pt>
                <c:pt idx="2" formatCode="0.00E+00">
                  <c:v>5.6646900000000003E-6</c:v>
                </c:pt>
                <c:pt idx="3" formatCode="0.00E+00">
                  <c:v>2.2852900000000001E-6</c:v>
                </c:pt>
                <c:pt idx="4" formatCode="0.00E+00">
                  <c:v>9.2259800000000001E-7</c:v>
                </c:pt>
                <c:pt idx="5" formatCode="0.00E+00">
                  <c:v>3.7278700000000001E-7</c:v>
                </c:pt>
                <c:pt idx="6" formatCode="0.00E+00">
                  <c:v>1.5085300000000001E-7</c:v>
                </c:pt>
                <c:pt idx="7" formatCode="0.00E+00">
                  <c:v>6.1408200000000001E-8</c:v>
                </c:pt>
                <c:pt idx="8" formatCode="0.00E+00">
                  <c:v>2.5913100000000001E-8</c:v>
                </c:pt>
                <c:pt idx="9" formatCode="0.00E+00">
                  <c:v>1.34047E-8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490-40B9-9D7F-79F20F81B8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57452688"/>
        <c:axId val="185893712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results!$B$5</c15:sqref>
                        </c15:formulaRef>
                      </c:ext>
                    </c:extLst>
                    <c:strCache>
                      <c:ptCount val="1"/>
                      <c:pt idx="0">
                        <c:v>t=0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results!$B$2:$K$2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0.05</c:v>
                      </c:pt>
                      <c:pt idx="1">
                        <c:v>0.15000000000000002</c:v>
                      </c:pt>
                      <c:pt idx="2">
                        <c:v>0.25</c:v>
                      </c:pt>
                      <c:pt idx="3">
                        <c:v>0.35000000000000003</c:v>
                      </c:pt>
                      <c:pt idx="4">
                        <c:v>0.45</c:v>
                      </c:pt>
                      <c:pt idx="5">
                        <c:v>0.55000000000000004</c:v>
                      </c:pt>
                      <c:pt idx="6">
                        <c:v>0.65</c:v>
                      </c:pt>
                      <c:pt idx="7">
                        <c:v>0.75</c:v>
                      </c:pt>
                      <c:pt idx="8">
                        <c:v>0.85000000000000009</c:v>
                      </c:pt>
                      <c:pt idx="9">
                        <c:v>0.95000000000000007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results!$B$10:$K$10</c15:sqref>
                        </c15:formulaRef>
                      </c:ext>
                    </c:extLst>
                    <c:numCache>
                      <c:formatCode>0.00E+00</c:formatCode>
                      <c:ptCount val="10"/>
                      <c:pt idx="0">
                        <c:v>1.0000000000000001E-5</c:v>
                      </c:pt>
                      <c:pt idx="1">
                        <c:v>1.0000000000000001E-5</c:v>
                      </c:pt>
                      <c:pt idx="2">
                        <c:v>1.0000000000000001E-5</c:v>
                      </c:pt>
                      <c:pt idx="3">
                        <c:v>1.0000000000000001E-5</c:v>
                      </c:pt>
                      <c:pt idx="4">
                        <c:v>1.0000000000000001E-5</c:v>
                      </c:pt>
                      <c:pt idx="5">
                        <c:v>1.0000000000000001E-5</c:v>
                      </c:pt>
                      <c:pt idx="6">
                        <c:v>1.0000000000000001E-5</c:v>
                      </c:pt>
                      <c:pt idx="7">
                        <c:v>1.0000000000000001E-5</c:v>
                      </c:pt>
                      <c:pt idx="8">
                        <c:v>1.0000000000000001E-5</c:v>
                      </c:pt>
                      <c:pt idx="9">
                        <c:v>1.0000000000000001E-5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29CE-47DA-8698-989A2F5A052E}"/>
                  </c:ext>
                </c:extLst>
              </c15:ser>
            </c15:filteredScatterSeries>
          </c:ext>
        </c:extLst>
      </c:scatterChart>
      <c:valAx>
        <c:axId val="20574526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893712"/>
        <c:crosses val="autoZero"/>
        <c:crossBetween val="midCat"/>
      </c:valAx>
      <c:valAx>
        <c:axId val="185893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conc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74526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59673600174978125"/>
          <c:y val="0.22798692268729567"/>
          <c:w val="0.32270844269466314"/>
          <c:h val="0.28245890316342037"/>
        </c:manualLayout>
      </c:layout>
      <c:overlay val="1"/>
      <c:spPr>
        <a:solidFill>
          <a:sysClr val="window" lastClr="FFFFFF"/>
        </a:solidFill>
        <a:ln>
          <a:solidFill>
            <a:sysClr val="windowText" lastClr="000000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rk</a:t>
            </a:r>
            <a:r>
              <a:rPr lang="en-US" baseline="0"/>
              <a:t> </a:t>
            </a:r>
            <a:r>
              <a:rPr lang="en-US"/>
              <a:t>oxid aer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strRef>
              <c:f>results!$B$18</c:f>
              <c:strCache>
                <c:ptCount val="1"/>
                <c:pt idx="0">
                  <c:v>t=0.01d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results!$B$2:$K$2</c:f>
              <c:numCache>
                <c:formatCode>General</c:formatCode>
                <c:ptCount val="10"/>
                <c:pt idx="0">
                  <c:v>0.05</c:v>
                </c:pt>
                <c:pt idx="1">
                  <c:v>0.15000000000000002</c:v>
                </c:pt>
                <c:pt idx="2">
                  <c:v>0.25</c:v>
                </c:pt>
                <c:pt idx="3">
                  <c:v>0.35000000000000003</c:v>
                </c:pt>
                <c:pt idx="4">
                  <c:v>0.45</c:v>
                </c:pt>
                <c:pt idx="5">
                  <c:v>0.55000000000000004</c:v>
                </c:pt>
                <c:pt idx="6">
                  <c:v>0.65</c:v>
                </c:pt>
                <c:pt idx="7">
                  <c:v>0.75</c:v>
                </c:pt>
                <c:pt idx="8">
                  <c:v>0.85000000000000009</c:v>
                </c:pt>
                <c:pt idx="9">
                  <c:v>0.95000000000000007</c:v>
                </c:pt>
              </c:numCache>
            </c:numRef>
          </c:xVal>
          <c:yVal>
            <c:numRef>
              <c:f>results!$B$33:$K$33</c:f>
              <c:numCache>
                <c:formatCode>0.00E+00</c:formatCode>
                <c:ptCount val="10"/>
                <c:pt idx="0">
                  <c:v>8.5289199999999995E-4</c:v>
                </c:pt>
                <c:pt idx="1">
                  <c:v>2.63093E-4</c:v>
                </c:pt>
                <c:pt idx="2">
                  <c:v>1.2484599999999999E-4</c:v>
                </c:pt>
                <c:pt idx="3">
                  <c:v>9.1932800000000002E-5</c:v>
                </c:pt>
                <c:pt idx="4">
                  <c:v>8.3956999999999996E-5</c:v>
                </c:pt>
                <c:pt idx="5">
                  <c:v>8.2003399999999995E-5</c:v>
                </c:pt>
                <c:pt idx="6">
                  <c:v>8.1523199999999999E-5</c:v>
                </c:pt>
                <c:pt idx="7">
                  <c:v>8.1405100000000004E-5</c:v>
                </c:pt>
                <c:pt idx="8">
                  <c:v>8.1376099999999995E-5</c:v>
                </c:pt>
                <c:pt idx="9">
                  <c:v>8.1369299999999994E-5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4B0-42CC-870F-E2D0D72981A1}"/>
            </c:ext>
          </c:extLst>
        </c:ser>
        <c:ser>
          <c:idx val="2"/>
          <c:order val="1"/>
          <c:tx>
            <c:strRef>
              <c:f>results!$B$35</c:f>
              <c:strCache>
                <c:ptCount val="1"/>
                <c:pt idx="0">
                  <c:v>t=0.02d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results!$B$2:$K$2</c:f>
              <c:numCache>
                <c:formatCode>General</c:formatCode>
                <c:ptCount val="10"/>
                <c:pt idx="0">
                  <c:v>0.05</c:v>
                </c:pt>
                <c:pt idx="1">
                  <c:v>0.15000000000000002</c:v>
                </c:pt>
                <c:pt idx="2">
                  <c:v>0.25</c:v>
                </c:pt>
                <c:pt idx="3">
                  <c:v>0.35000000000000003</c:v>
                </c:pt>
                <c:pt idx="4">
                  <c:v>0.45</c:v>
                </c:pt>
                <c:pt idx="5">
                  <c:v>0.55000000000000004</c:v>
                </c:pt>
                <c:pt idx="6">
                  <c:v>0.65</c:v>
                </c:pt>
                <c:pt idx="7">
                  <c:v>0.75</c:v>
                </c:pt>
                <c:pt idx="8">
                  <c:v>0.85000000000000009</c:v>
                </c:pt>
                <c:pt idx="9">
                  <c:v>0.95000000000000007</c:v>
                </c:pt>
              </c:numCache>
            </c:numRef>
          </c:xVal>
          <c:yVal>
            <c:numRef>
              <c:f>results!$B$50:$K$50</c:f>
              <c:numCache>
                <c:formatCode>0.00E+00</c:formatCode>
                <c:ptCount val="10"/>
                <c:pt idx="0">
                  <c:v>7.9693299999999999E-4</c:v>
                </c:pt>
                <c:pt idx="1">
                  <c:v>2.03644E-4</c:v>
                </c:pt>
                <c:pt idx="2">
                  <c:v>6.1331899999999995E-5</c:v>
                </c:pt>
                <c:pt idx="3">
                  <c:v>2.6600900000000001E-5</c:v>
                </c:pt>
                <c:pt idx="4">
                  <c:v>1.80139E-5</c:v>
                </c:pt>
                <c:pt idx="5">
                  <c:v>1.58413E-5</c:v>
                </c:pt>
                <c:pt idx="6">
                  <c:v>1.5284199999999998E-5</c:v>
                </c:pt>
                <c:pt idx="7">
                  <c:v>1.5140899999999999E-5</c:v>
                </c:pt>
                <c:pt idx="8">
                  <c:v>1.51042E-5</c:v>
                </c:pt>
                <c:pt idx="9">
                  <c:v>1.5095299999999999E-5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30B-4A0D-917A-67A343523F9E}"/>
            </c:ext>
          </c:extLst>
        </c:ser>
        <c:ser>
          <c:idx val="0"/>
          <c:order val="2"/>
          <c:tx>
            <c:strRef>
              <c:f>results!$B$52</c:f>
              <c:strCache>
                <c:ptCount val="1"/>
                <c:pt idx="0">
                  <c:v>t=0.1d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results!$B$2:$K$2</c:f>
              <c:numCache>
                <c:formatCode>General</c:formatCode>
                <c:ptCount val="10"/>
                <c:pt idx="0">
                  <c:v>0.05</c:v>
                </c:pt>
                <c:pt idx="1">
                  <c:v>0.15000000000000002</c:v>
                </c:pt>
                <c:pt idx="2">
                  <c:v>0.25</c:v>
                </c:pt>
                <c:pt idx="3">
                  <c:v>0.35000000000000003</c:v>
                </c:pt>
                <c:pt idx="4">
                  <c:v>0.45</c:v>
                </c:pt>
                <c:pt idx="5">
                  <c:v>0.55000000000000004</c:v>
                </c:pt>
                <c:pt idx="6">
                  <c:v>0.65</c:v>
                </c:pt>
                <c:pt idx="7">
                  <c:v>0.75</c:v>
                </c:pt>
                <c:pt idx="8">
                  <c:v>0.85000000000000009</c:v>
                </c:pt>
                <c:pt idx="9">
                  <c:v>0.95000000000000007</c:v>
                </c:pt>
              </c:numCache>
            </c:numRef>
          </c:xVal>
          <c:yVal>
            <c:numRef>
              <c:f>results!$B$67:$K$67</c:f>
              <c:numCache>
                <c:formatCode>0.00E+00</c:formatCode>
                <c:ptCount val="10"/>
                <c:pt idx="0">
                  <c:v>7.8472500000000001E-4</c:v>
                </c:pt>
                <c:pt idx="1">
                  <c:v>1.9007E-4</c:v>
                </c:pt>
                <c:pt idx="2">
                  <c:v>4.7012399999999997E-5</c:v>
                </c:pt>
                <c:pt idx="3">
                  <c:v>1.1748E-5</c:v>
                </c:pt>
                <c:pt idx="4">
                  <c:v>2.96833E-6</c:v>
                </c:pt>
                <c:pt idx="5">
                  <c:v>7.6194699999999999E-7</c:v>
                </c:pt>
                <c:pt idx="6">
                  <c:v>1.9992899999999999E-7</c:v>
                </c:pt>
                <c:pt idx="7">
                  <c:v>5.3914399999999997E-8</c:v>
                </c:pt>
                <c:pt idx="8">
                  <c:v>1.5144299999999999E-8</c:v>
                </c:pt>
                <c:pt idx="9">
                  <c:v>5.2338799999999997E-9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419-4309-8D93-F3CB276ECCFC}"/>
            </c:ext>
          </c:extLst>
        </c:ser>
        <c:ser>
          <c:idx val="3"/>
          <c:order val="3"/>
          <c:tx>
            <c:strRef>
              <c:f>results!$B$69</c:f>
              <c:strCache>
                <c:ptCount val="1"/>
                <c:pt idx="0">
                  <c:v>t=1d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results!$B$2:$K$2</c:f>
              <c:numCache>
                <c:formatCode>General</c:formatCode>
                <c:ptCount val="10"/>
                <c:pt idx="0">
                  <c:v>0.05</c:v>
                </c:pt>
                <c:pt idx="1">
                  <c:v>0.15000000000000002</c:v>
                </c:pt>
                <c:pt idx="2">
                  <c:v>0.25</c:v>
                </c:pt>
                <c:pt idx="3">
                  <c:v>0.35000000000000003</c:v>
                </c:pt>
                <c:pt idx="4">
                  <c:v>0.45</c:v>
                </c:pt>
                <c:pt idx="5">
                  <c:v>0.55000000000000004</c:v>
                </c:pt>
                <c:pt idx="6">
                  <c:v>0.65</c:v>
                </c:pt>
                <c:pt idx="7">
                  <c:v>0.75</c:v>
                </c:pt>
                <c:pt idx="8">
                  <c:v>0.85000000000000009</c:v>
                </c:pt>
                <c:pt idx="9">
                  <c:v>0.95000000000000007</c:v>
                </c:pt>
              </c:numCache>
            </c:numRef>
          </c:xVal>
          <c:yVal>
            <c:numRef>
              <c:f>results!$B$84:$K$84</c:f>
              <c:numCache>
                <c:formatCode>0.00E+00</c:formatCode>
                <c:ptCount val="10"/>
                <c:pt idx="0">
                  <c:v>7.8516600000000001E-4</c:v>
                </c:pt>
                <c:pt idx="1">
                  <c:v>1.8976299999999999E-4</c:v>
                </c:pt>
                <c:pt idx="2">
                  <c:v>4.6703999999999999E-5</c:v>
                </c:pt>
                <c:pt idx="3">
                  <c:v>1.1551499999999999E-5</c:v>
                </c:pt>
                <c:pt idx="4">
                  <c:v>2.8620400000000001E-6</c:v>
                </c:pt>
                <c:pt idx="5">
                  <c:v>7.0981000000000003E-7</c:v>
                </c:pt>
                <c:pt idx="6">
                  <c:v>1.7618899999999999E-7</c:v>
                </c:pt>
                <c:pt idx="7">
                  <c:v>4.3795500000000003E-8</c:v>
                </c:pt>
                <c:pt idx="8">
                  <c:v>1.10133E-8</c:v>
                </c:pt>
                <c:pt idx="9">
                  <c:v>3.2975699999999998E-9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560-4A4C-AB36-DDD85F58730D}"/>
            </c:ext>
          </c:extLst>
        </c:ser>
        <c:ser>
          <c:idx val="4"/>
          <c:order val="4"/>
          <c:tx>
            <c:strRef>
              <c:f>results!$B$86</c:f>
              <c:strCache>
                <c:ptCount val="1"/>
                <c:pt idx="0">
                  <c:v>t=5d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results!$B$2:$K$2</c:f>
              <c:numCache>
                <c:formatCode>General</c:formatCode>
                <c:ptCount val="10"/>
                <c:pt idx="0">
                  <c:v>0.05</c:v>
                </c:pt>
                <c:pt idx="1">
                  <c:v>0.15000000000000002</c:v>
                </c:pt>
                <c:pt idx="2">
                  <c:v>0.25</c:v>
                </c:pt>
                <c:pt idx="3">
                  <c:v>0.35000000000000003</c:v>
                </c:pt>
                <c:pt idx="4">
                  <c:v>0.45</c:v>
                </c:pt>
                <c:pt idx="5">
                  <c:v>0.55000000000000004</c:v>
                </c:pt>
                <c:pt idx="6">
                  <c:v>0.65</c:v>
                </c:pt>
                <c:pt idx="7">
                  <c:v>0.75</c:v>
                </c:pt>
                <c:pt idx="8">
                  <c:v>0.85000000000000009</c:v>
                </c:pt>
                <c:pt idx="9">
                  <c:v>0.95000000000000007</c:v>
                </c:pt>
              </c:numCache>
            </c:numRef>
          </c:xVal>
          <c:yVal>
            <c:numRef>
              <c:f>results!$B$101:$K$101</c:f>
              <c:numCache>
                <c:formatCode>0.00E+00</c:formatCode>
                <c:ptCount val="10"/>
                <c:pt idx="0">
                  <c:v>7.8550400000000002E-4</c:v>
                </c:pt>
                <c:pt idx="1">
                  <c:v>1.89619E-4</c:v>
                </c:pt>
                <c:pt idx="2">
                  <c:v>4.6586299999999998E-5</c:v>
                </c:pt>
                <c:pt idx="3">
                  <c:v>1.1494900000000001E-5</c:v>
                </c:pt>
                <c:pt idx="4">
                  <c:v>2.8393699999999999E-6</c:v>
                </c:pt>
                <c:pt idx="5">
                  <c:v>7.0155799999999999E-7</c:v>
                </c:pt>
                <c:pt idx="6">
                  <c:v>1.7336299999999999E-7</c:v>
                </c:pt>
                <c:pt idx="7">
                  <c:v>4.28667E-8</c:v>
                </c:pt>
                <c:pt idx="8">
                  <c:v>1.07128E-8</c:v>
                </c:pt>
                <c:pt idx="9">
                  <c:v>3.1831500000000001E-9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2F8-44CB-9723-F7CA4C0B2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57452688"/>
        <c:axId val="185893712"/>
      </c:scatterChart>
      <c:valAx>
        <c:axId val="20574526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893712"/>
        <c:crosses val="autoZero"/>
        <c:crossBetween val="midCat"/>
      </c:valAx>
      <c:valAx>
        <c:axId val="185893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74526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9673600174978123"/>
          <c:y val="0.20927347239489796"/>
          <c:w val="0.16159733158355205"/>
          <c:h val="0.39473960491780635"/>
        </c:manualLayout>
      </c:layout>
      <c:overlay val="1"/>
      <c:spPr>
        <a:solidFill>
          <a:sysClr val="window" lastClr="FFFFFF"/>
        </a:solidFill>
        <a:ln>
          <a:solidFill>
            <a:sysClr val="windowText" lastClr="000000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rk</a:t>
            </a:r>
            <a:r>
              <a:rPr lang="en-US" baseline="0"/>
              <a:t> </a:t>
            </a:r>
            <a:r>
              <a:rPr lang="en-US"/>
              <a:t>denit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strRef>
              <c:f>results!$B$18</c:f>
              <c:strCache>
                <c:ptCount val="1"/>
                <c:pt idx="0">
                  <c:v>t=0.01d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results!$B$2:$K$2</c:f>
              <c:numCache>
                <c:formatCode>General</c:formatCode>
                <c:ptCount val="10"/>
                <c:pt idx="0">
                  <c:v>0.05</c:v>
                </c:pt>
                <c:pt idx="1">
                  <c:v>0.15000000000000002</c:v>
                </c:pt>
                <c:pt idx="2">
                  <c:v>0.25</c:v>
                </c:pt>
                <c:pt idx="3">
                  <c:v>0.35000000000000003</c:v>
                </c:pt>
                <c:pt idx="4">
                  <c:v>0.45</c:v>
                </c:pt>
                <c:pt idx="5">
                  <c:v>0.55000000000000004</c:v>
                </c:pt>
                <c:pt idx="6">
                  <c:v>0.65</c:v>
                </c:pt>
                <c:pt idx="7">
                  <c:v>0.75</c:v>
                </c:pt>
                <c:pt idx="8">
                  <c:v>0.85000000000000009</c:v>
                </c:pt>
                <c:pt idx="9">
                  <c:v>0.95000000000000007</c:v>
                </c:pt>
              </c:numCache>
            </c:numRef>
          </c:xVal>
          <c:yVal>
            <c:numRef>
              <c:f>results!$B$34:$K$34</c:f>
              <c:numCache>
                <c:formatCode>0.00E+00</c:formatCode>
                <c:ptCount val="10"/>
                <c:pt idx="0">
                  <c:v>4.7217299999999999E-4</c:v>
                </c:pt>
                <c:pt idx="1">
                  <c:v>8.3755099999999994E-5</c:v>
                </c:pt>
                <c:pt idx="2">
                  <c:v>3.3073E-5</c:v>
                </c:pt>
                <c:pt idx="3">
                  <c:v>2.3787499999999999E-5</c:v>
                </c:pt>
                <c:pt idx="4">
                  <c:v>2.17036E-5</c:v>
                </c:pt>
                <c:pt idx="5">
                  <c:v>2.1203E-5</c:v>
                </c:pt>
                <c:pt idx="6">
                  <c:v>2.1080499999999999E-5</c:v>
                </c:pt>
                <c:pt idx="7">
                  <c:v>2.1050500000000001E-5</c:v>
                </c:pt>
                <c:pt idx="8">
                  <c:v>2.1043099999999998E-5</c:v>
                </c:pt>
                <c:pt idx="9">
                  <c:v>2.1041400000000002E-5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94C-4445-99A0-CBA9470BABB3}"/>
            </c:ext>
          </c:extLst>
        </c:ser>
        <c:ser>
          <c:idx val="2"/>
          <c:order val="1"/>
          <c:tx>
            <c:strRef>
              <c:f>results!$B$35</c:f>
              <c:strCache>
                <c:ptCount val="1"/>
                <c:pt idx="0">
                  <c:v>t=0.02d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results!$B$2:$K$2</c:f>
              <c:numCache>
                <c:formatCode>General</c:formatCode>
                <c:ptCount val="10"/>
                <c:pt idx="0">
                  <c:v>0.05</c:v>
                </c:pt>
                <c:pt idx="1">
                  <c:v>0.15000000000000002</c:v>
                </c:pt>
                <c:pt idx="2">
                  <c:v>0.25</c:v>
                </c:pt>
                <c:pt idx="3">
                  <c:v>0.35000000000000003</c:v>
                </c:pt>
                <c:pt idx="4">
                  <c:v>0.45</c:v>
                </c:pt>
                <c:pt idx="5">
                  <c:v>0.55000000000000004</c:v>
                </c:pt>
                <c:pt idx="6">
                  <c:v>0.65</c:v>
                </c:pt>
                <c:pt idx="7">
                  <c:v>0.75</c:v>
                </c:pt>
                <c:pt idx="8">
                  <c:v>0.85000000000000009</c:v>
                </c:pt>
                <c:pt idx="9">
                  <c:v>0.95000000000000007</c:v>
                </c:pt>
              </c:numCache>
            </c:numRef>
          </c:xVal>
          <c:yVal>
            <c:numRef>
              <c:f>results!$B$51:$K$51</c:f>
              <c:numCache>
                <c:formatCode>0.00E+00</c:formatCode>
                <c:ptCount val="10"/>
                <c:pt idx="0">
                  <c:v>1.05448E-3</c:v>
                </c:pt>
                <c:pt idx="1">
                  <c:v>2.1418399999999999E-4</c:v>
                </c:pt>
                <c:pt idx="2">
                  <c:v>6.0627400000000002E-5</c:v>
                </c:pt>
                <c:pt idx="3">
                  <c:v>3.0063899999999999E-5</c:v>
                </c:pt>
                <c:pt idx="4">
                  <c:v>2.27295E-5</c:v>
                </c:pt>
                <c:pt idx="5">
                  <c:v>2.0764E-5</c:v>
                </c:pt>
                <c:pt idx="6">
                  <c:v>2.02201E-5</c:v>
                </c:pt>
                <c:pt idx="7">
                  <c:v>2.0069599999999998E-5</c:v>
                </c:pt>
                <c:pt idx="8">
                  <c:v>2.00285E-5</c:v>
                </c:pt>
                <c:pt idx="9">
                  <c:v>2.0018100000000001E-5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E31-4F6E-9D3F-8DC72DA71CFB}"/>
            </c:ext>
          </c:extLst>
        </c:ser>
        <c:ser>
          <c:idx val="0"/>
          <c:order val="2"/>
          <c:tx>
            <c:strRef>
              <c:f>results!$B$52</c:f>
              <c:strCache>
                <c:ptCount val="1"/>
                <c:pt idx="0">
                  <c:v>t=0.1d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results!$B$2:$K$2</c:f>
              <c:numCache>
                <c:formatCode>General</c:formatCode>
                <c:ptCount val="10"/>
                <c:pt idx="0">
                  <c:v>0.05</c:v>
                </c:pt>
                <c:pt idx="1">
                  <c:v>0.15000000000000002</c:v>
                </c:pt>
                <c:pt idx="2">
                  <c:v>0.25</c:v>
                </c:pt>
                <c:pt idx="3">
                  <c:v>0.35000000000000003</c:v>
                </c:pt>
                <c:pt idx="4">
                  <c:v>0.45</c:v>
                </c:pt>
                <c:pt idx="5">
                  <c:v>0.55000000000000004</c:v>
                </c:pt>
                <c:pt idx="6">
                  <c:v>0.65</c:v>
                </c:pt>
                <c:pt idx="7">
                  <c:v>0.75</c:v>
                </c:pt>
                <c:pt idx="8">
                  <c:v>0.85000000000000009</c:v>
                </c:pt>
                <c:pt idx="9">
                  <c:v>0.95000000000000007</c:v>
                </c:pt>
              </c:numCache>
            </c:numRef>
          </c:xVal>
          <c:yVal>
            <c:numRef>
              <c:f>results!$B$68:$K$68</c:f>
              <c:numCache>
                <c:formatCode>0.00E+00</c:formatCode>
                <c:ptCount val="10"/>
                <c:pt idx="0">
                  <c:v>2.74779E-3</c:v>
                </c:pt>
                <c:pt idx="1">
                  <c:v>1.1317600000000001E-3</c:v>
                </c:pt>
                <c:pt idx="2">
                  <c:v>4.8416399999999998E-4</c:v>
                </c:pt>
                <c:pt idx="3">
                  <c:v>2.1212499999999999E-4</c:v>
                </c:pt>
                <c:pt idx="4">
                  <c:v>9.7605599999999999E-5</c:v>
                </c:pt>
                <c:pt idx="5">
                  <c:v>4.9920399999999997E-5</c:v>
                </c:pt>
                <c:pt idx="6">
                  <c:v>2.9987700000000001E-5</c:v>
                </c:pt>
                <c:pt idx="7">
                  <c:v>2.1509999999999999E-5</c:v>
                </c:pt>
                <c:pt idx="8">
                  <c:v>1.7907600000000001E-5</c:v>
                </c:pt>
                <c:pt idx="9">
                  <c:v>1.6559099999999999E-5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E51-445E-914B-BCB470461A0D}"/>
            </c:ext>
          </c:extLst>
        </c:ser>
        <c:ser>
          <c:idx val="3"/>
          <c:order val="3"/>
          <c:tx>
            <c:strRef>
              <c:f>results!$B$69</c:f>
              <c:strCache>
                <c:ptCount val="1"/>
                <c:pt idx="0">
                  <c:v>t=1d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results!$B$2:$K$2</c:f>
              <c:numCache>
                <c:formatCode>General</c:formatCode>
                <c:ptCount val="10"/>
                <c:pt idx="0">
                  <c:v>0.05</c:v>
                </c:pt>
                <c:pt idx="1">
                  <c:v>0.15000000000000002</c:v>
                </c:pt>
                <c:pt idx="2">
                  <c:v>0.25</c:v>
                </c:pt>
                <c:pt idx="3">
                  <c:v>0.35000000000000003</c:v>
                </c:pt>
                <c:pt idx="4">
                  <c:v>0.45</c:v>
                </c:pt>
                <c:pt idx="5">
                  <c:v>0.55000000000000004</c:v>
                </c:pt>
                <c:pt idx="6">
                  <c:v>0.65</c:v>
                </c:pt>
                <c:pt idx="7">
                  <c:v>0.75</c:v>
                </c:pt>
                <c:pt idx="8">
                  <c:v>0.85000000000000009</c:v>
                </c:pt>
                <c:pt idx="9">
                  <c:v>0.95000000000000007</c:v>
                </c:pt>
              </c:numCache>
            </c:numRef>
          </c:xVal>
          <c:yVal>
            <c:numRef>
              <c:f>results!$B$85:$K$85</c:f>
              <c:numCache>
                <c:formatCode>0.00E+00</c:formatCode>
                <c:ptCount val="10"/>
                <c:pt idx="0">
                  <c:v>2.94297E-3</c:v>
                </c:pt>
                <c:pt idx="1">
                  <c:v>1.2124E-3</c:v>
                </c:pt>
                <c:pt idx="2">
                  <c:v>5.2739799999999999E-4</c:v>
                </c:pt>
                <c:pt idx="3">
                  <c:v>2.3907600000000001E-4</c:v>
                </c:pt>
                <c:pt idx="4">
                  <c:v>1.12317E-4</c:v>
                </c:pt>
                <c:pt idx="5">
                  <c:v>5.4633999999999999E-5</c:v>
                </c:pt>
                <c:pt idx="6">
                  <c:v>2.7622300000000001E-5</c:v>
                </c:pt>
                <c:pt idx="7">
                  <c:v>1.47217E-5</c:v>
                </c:pt>
                <c:pt idx="8">
                  <c:v>8.6240799999999996E-6</c:v>
                </c:pt>
                <c:pt idx="9">
                  <c:v>6.1441600000000001E-6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8BF-47F1-A42F-0689F7E07455}"/>
            </c:ext>
          </c:extLst>
        </c:ser>
        <c:ser>
          <c:idx val="4"/>
          <c:order val="4"/>
          <c:tx>
            <c:strRef>
              <c:f>results!$B$86:$K$86</c:f>
              <c:strCache>
                <c:ptCount val="10"/>
                <c:pt idx="0">
                  <c:v>t=5d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results!$B$2:$K$2</c:f>
              <c:numCache>
                <c:formatCode>General</c:formatCode>
                <c:ptCount val="10"/>
                <c:pt idx="0">
                  <c:v>0.05</c:v>
                </c:pt>
                <c:pt idx="1">
                  <c:v>0.15000000000000002</c:v>
                </c:pt>
                <c:pt idx="2">
                  <c:v>0.25</c:v>
                </c:pt>
                <c:pt idx="3">
                  <c:v>0.35000000000000003</c:v>
                </c:pt>
                <c:pt idx="4">
                  <c:v>0.45</c:v>
                </c:pt>
                <c:pt idx="5">
                  <c:v>0.55000000000000004</c:v>
                </c:pt>
                <c:pt idx="6">
                  <c:v>0.65</c:v>
                </c:pt>
                <c:pt idx="7">
                  <c:v>0.75</c:v>
                </c:pt>
                <c:pt idx="8">
                  <c:v>0.85000000000000009</c:v>
                </c:pt>
                <c:pt idx="9">
                  <c:v>0.95000000000000007</c:v>
                </c:pt>
              </c:numCache>
            </c:numRef>
          </c:xVal>
          <c:yVal>
            <c:numRef>
              <c:f>results!$B$102:$K$102</c:f>
              <c:numCache>
                <c:formatCode>0.00E+00</c:formatCode>
                <c:ptCount val="10"/>
                <c:pt idx="0">
                  <c:v>3.1124500000000001E-3</c:v>
                </c:pt>
                <c:pt idx="1">
                  <c:v>1.2020900000000001E-3</c:v>
                </c:pt>
                <c:pt idx="2">
                  <c:v>4.74842E-4</c:v>
                </c:pt>
                <c:pt idx="3">
                  <c:v>1.89388E-4</c:v>
                </c:pt>
                <c:pt idx="4">
                  <c:v>7.5895699999999999E-5</c:v>
                </c:pt>
                <c:pt idx="5">
                  <c:v>3.0502300000000001E-5</c:v>
                </c:pt>
                <c:pt idx="6">
                  <c:v>1.2292200000000001E-5</c:v>
                </c:pt>
                <c:pt idx="7">
                  <c:v>4.9880999999999997E-6</c:v>
                </c:pt>
                <c:pt idx="8">
                  <c:v>2.1003099999999999E-6</c:v>
                </c:pt>
                <c:pt idx="9">
                  <c:v>1.08524E-6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91E-447F-9196-48680CDAFA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57452688"/>
        <c:axId val="185893712"/>
      </c:scatterChart>
      <c:valAx>
        <c:axId val="20574526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893712"/>
        <c:crosses val="autoZero"/>
        <c:crossBetween val="midCat"/>
      </c:valAx>
      <c:valAx>
        <c:axId val="185893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74526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1062489063867007"/>
          <c:y val="0.2233085601141962"/>
          <c:w val="0.16159733158355205"/>
          <c:h val="0.39473960491780635"/>
        </c:manualLayout>
      </c:layout>
      <c:overlay val="1"/>
      <c:spPr>
        <a:solidFill>
          <a:sysClr val="window" lastClr="FFFFFF"/>
        </a:solidFill>
        <a:ln>
          <a:solidFill>
            <a:sysClr val="windowText" lastClr="000000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r_eq calcite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results!$B$18</c:f>
              <c:strCache>
                <c:ptCount val="1"/>
                <c:pt idx="0">
                  <c:v>t=0.01d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results!$B$2:$K$2</c:f>
              <c:numCache>
                <c:formatCode>General</c:formatCode>
                <c:ptCount val="10"/>
                <c:pt idx="0">
                  <c:v>0.05</c:v>
                </c:pt>
                <c:pt idx="1">
                  <c:v>0.15000000000000002</c:v>
                </c:pt>
                <c:pt idx="2">
                  <c:v>0.25</c:v>
                </c:pt>
                <c:pt idx="3">
                  <c:v>0.35000000000000003</c:v>
                </c:pt>
                <c:pt idx="4">
                  <c:v>0.45</c:v>
                </c:pt>
                <c:pt idx="5">
                  <c:v>0.55000000000000004</c:v>
                </c:pt>
                <c:pt idx="6">
                  <c:v>0.65</c:v>
                </c:pt>
                <c:pt idx="7">
                  <c:v>0.75</c:v>
                </c:pt>
                <c:pt idx="8">
                  <c:v>0.85000000000000009</c:v>
                </c:pt>
                <c:pt idx="9">
                  <c:v>0.95000000000000007</c:v>
                </c:pt>
              </c:numCache>
            </c:numRef>
          </c:xVal>
          <c:yVal>
            <c:numRef>
              <c:f>results!$B$30:$K$30</c:f>
              <c:numCache>
                <c:formatCode>0.00E+00</c:formatCode>
                <c:ptCount val="10"/>
                <c:pt idx="0">
                  <c:v>-3.1199299999999999E-3</c:v>
                </c:pt>
                <c:pt idx="1">
                  <c:v>-8.8848200000000001E-4</c:v>
                </c:pt>
                <c:pt idx="2">
                  <c:v>-4.1388800000000001E-4</c:v>
                </c:pt>
                <c:pt idx="3">
                  <c:v>-3.0424100000000002E-4</c:v>
                </c:pt>
                <c:pt idx="4">
                  <c:v>-2.7787100000000001E-4</c:v>
                </c:pt>
                <c:pt idx="5">
                  <c:v>-2.7142399999999998E-4</c:v>
                </c:pt>
                <c:pt idx="6">
                  <c:v>-2.6983900000000002E-4</c:v>
                </c:pt>
                <c:pt idx="7">
                  <c:v>-2.6945000000000002E-4</c:v>
                </c:pt>
                <c:pt idx="8">
                  <c:v>-2.6935400000000002E-4</c:v>
                </c:pt>
                <c:pt idx="9">
                  <c:v>-2.69332E-4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B5E-4F45-813D-2E0CFA9353EA}"/>
            </c:ext>
          </c:extLst>
        </c:ser>
        <c:ser>
          <c:idx val="2"/>
          <c:order val="1"/>
          <c:tx>
            <c:strRef>
              <c:f>results!$B$35</c:f>
              <c:strCache>
                <c:ptCount val="1"/>
                <c:pt idx="0">
                  <c:v>t=0.02d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results!$B$2:$K$2</c:f>
              <c:numCache>
                <c:formatCode>General</c:formatCode>
                <c:ptCount val="10"/>
                <c:pt idx="0">
                  <c:v>0.05</c:v>
                </c:pt>
                <c:pt idx="1">
                  <c:v>0.15000000000000002</c:v>
                </c:pt>
                <c:pt idx="2">
                  <c:v>0.25</c:v>
                </c:pt>
                <c:pt idx="3">
                  <c:v>0.35000000000000003</c:v>
                </c:pt>
                <c:pt idx="4">
                  <c:v>0.45</c:v>
                </c:pt>
                <c:pt idx="5">
                  <c:v>0.55000000000000004</c:v>
                </c:pt>
                <c:pt idx="6">
                  <c:v>0.65</c:v>
                </c:pt>
                <c:pt idx="7">
                  <c:v>0.75</c:v>
                </c:pt>
                <c:pt idx="8">
                  <c:v>0.85000000000000009</c:v>
                </c:pt>
                <c:pt idx="9">
                  <c:v>0.95000000000000007</c:v>
                </c:pt>
              </c:numCache>
            </c:numRef>
          </c:xVal>
          <c:yVal>
            <c:numRef>
              <c:f>results!$B$47:$K$47</c:f>
              <c:numCache>
                <c:formatCode>0.00E+00</c:formatCode>
                <c:ptCount val="10"/>
                <c:pt idx="0">
                  <c:v>-3.6508000000000001E-3</c:v>
                </c:pt>
                <c:pt idx="1">
                  <c:v>-8.6664900000000004E-4</c:v>
                </c:pt>
                <c:pt idx="2">
                  <c:v>-2.56424E-4</c:v>
                </c:pt>
                <c:pt idx="3">
                  <c:v>-1.15794E-4</c:v>
                </c:pt>
                <c:pt idx="4">
                  <c:v>-8.1290699999999997E-5</c:v>
                </c:pt>
                <c:pt idx="5">
                  <c:v>-7.24287E-5</c:v>
                </c:pt>
                <c:pt idx="6">
                  <c:v>-7.0108600000000002E-5</c:v>
                </c:pt>
                <c:pt idx="7">
                  <c:v>-6.9499199999999994E-5</c:v>
                </c:pt>
                <c:pt idx="8">
                  <c:v>-6.9339900000000003E-5</c:v>
                </c:pt>
                <c:pt idx="9">
                  <c:v>-6.9300699999999999E-5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0F7-4B5A-89E4-25555944F22E}"/>
            </c:ext>
          </c:extLst>
        </c:ser>
        <c:ser>
          <c:idx val="1"/>
          <c:order val="2"/>
          <c:tx>
            <c:strRef>
              <c:f>results!$B$52</c:f>
              <c:strCache>
                <c:ptCount val="1"/>
                <c:pt idx="0">
                  <c:v>t=0.1d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results!$B$2:$K$2</c:f>
              <c:numCache>
                <c:formatCode>General</c:formatCode>
                <c:ptCount val="10"/>
                <c:pt idx="0">
                  <c:v>0.05</c:v>
                </c:pt>
                <c:pt idx="1">
                  <c:v>0.15000000000000002</c:v>
                </c:pt>
                <c:pt idx="2">
                  <c:v>0.25</c:v>
                </c:pt>
                <c:pt idx="3">
                  <c:v>0.35000000000000003</c:v>
                </c:pt>
                <c:pt idx="4">
                  <c:v>0.45</c:v>
                </c:pt>
                <c:pt idx="5">
                  <c:v>0.55000000000000004</c:v>
                </c:pt>
                <c:pt idx="6">
                  <c:v>0.65</c:v>
                </c:pt>
                <c:pt idx="7">
                  <c:v>0.75</c:v>
                </c:pt>
                <c:pt idx="8">
                  <c:v>0.85000000000000009</c:v>
                </c:pt>
                <c:pt idx="9">
                  <c:v>0.95000000000000007</c:v>
                </c:pt>
              </c:numCache>
            </c:numRef>
          </c:xVal>
          <c:yVal>
            <c:numRef>
              <c:f>results!$B$64:$K$64</c:f>
              <c:numCache>
                <c:formatCode>0.00E+00</c:formatCode>
                <c:ptCount val="10"/>
                <c:pt idx="0">
                  <c:v>-5.6461599999999999E-3</c:v>
                </c:pt>
                <c:pt idx="1">
                  <c:v>-1.92691E-3</c:v>
                </c:pt>
                <c:pt idx="2">
                  <c:v>-7.2163200000000005E-4</c:v>
                </c:pt>
                <c:pt idx="3">
                  <c:v>-2.89673E-4</c:v>
                </c:pt>
                <c:pt idx="4">
                  <c:v>-1.2599200000000001E-4</c:v>
                </c:pt>
                <c:pt idx="5">
                  <c:v>-6.2175999999999996E-5</c:v>
                </c:pt>
                <c:pt idx="6">
                  <c:v>-3.6578900000000003E-5</c:v>
                </c:pt>
                <c:pt idx="7">
                  <c:v>-2.5970200000000001E-5</c:v>
                </c:pt>
                <c:pt idx="8">
                  <c:v>-2.1532E-5</c:v>
                </c:pt>
                <c:pt idx="9">
                  <c:v>-1.9884299999999999E-5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FF5-4026-8D51-9E107F7AB30F}"/>
            </c:ext>
          </c:extLst>
        </c:ser>
        <c:ser>
          <c:idx val="3"/>
          <c:order val="3"/>
          <c:tx>
            <c:strRef>
              <c:f>results!$B$69</c:f>
              <c:strCache>
                <c:ptCount val="1"/>
                <c:pt idx="0">
                  <c:v>t=1d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results!$B$2:$K$2</c:f>
              <c:numCache>
                <c:formatCode>General</c:formatCode>
                <c:ptCount val="10"/>
                <c:pt idx="0">
                  <c:v>0.05</c:v>
                </c:pt>
                <c:pt idx="1">
                  <c:v>0.15000000000000002</c:v>
                </c:pt>
                <c:pt idx="2">
                  <c:v>0.25</c:v>
                </c:pt>
                <c:pt idx="3">
                  <c:v>0.35000000000000003</c:v>
                </c:pt>
                <c:pt idx="4">
                  <c:v>0.45</c:v>
                </c:pt>
                <c:pt idx="5">
                  <c:v>0.55000000000000004</c:v>
                </c:pt>
                <c:pt idx="6">
                  <c:v>0.65</c:v>
                </c:pt>
                <c:pt idx="7">
                  <c:v>0.75</c:v>
                </c:pt>
                <c:pt idx="8">
                  <c:v>0.85000000000000009</c:v>
                </c:pt>
                <c:pt idx="9">
                  <c:v>0.95000000000000007</c:v>
                </c:pt>
              </c:numCache>
            </c:numRef>
          </c:xVal>
          <c:yVal>
            <c:numRef>
              <c:f>results!$B$81:$K$81</c:f>
              <c:numCache>
                <c:formatCode>0.00E+00</c:formatCode>
                <c:ptCount val="10"/>
                <c:pt idx="0">
                  <c:v>-5.88274E-3</c:v>
                </c:pt>
                <c:pt idx="1">
                  <c:v>-2.0229599999999999E-3</c:v>
                </c:pt>
                <c:pt idx="2">
                  <c:v>-7.7257300000000003E-4</c:v>
                </c:pt>
                <c:pt idx="3">
                  <c:v>-3.2136099999999999E-4</c:v>
                </c:pt>
                <c:pt idx="4">
                  <c:v>-1.4326399999999999E-4</c:v>
                </c:pt>
                <c:pt idx="5">
                  <c:v>-6.76261E-5</c:v>
                </c:pt>
                <c:pt idx="6">
                  <c:v>-3.36353E-5</c:v>
                </c:pt>
                <c:pt idx="7">
                  <c:v>-1.77743E-5</c:v>
                </c:pt>
                <c:pt idx="8">
                  <c:v>-1.03703E-5</c:v>
                </c:pt>
                <c:pt idx="9">
                  <c:v>-7.3773700000000003E-6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67E-4A4C-A8CE-89CEB06C016A}"/>
            </c:ext>
          </c:extLst>
        </c:ser>
        <c:ser>
          <c:idx val="4"/>
          <c:order val="4"/>
          <c:tx>
            <c:strRef>
              <c:f>results!$B$86</c:f>
              <c:strCache>
                <c:ptCount val="1"/>
                <c:pt idx="0">
                  <c:v>t=5d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results!$B$2:$K$2</c:f>
              <c:numCache>
                <c:formatCode>General</c:formatCode>
                <c:ptCount val="10"/>
                <c:pt idx="0">
                  <c:v>0.05</c:v>
                </c:pt>
                <c:pt idx="1">
                  <c:v>0.15000000000000002</c:v>
                </c:pt>
                <c:pt idx="2">
                  <c:v>0.25</c:v>
                </c:pt>
                <c:pt idx="3">
                  <c:v>0.35000000000000003</c:v>
                </c:pt>
                <c:pt idx="4">
                  <c:v>0.45</c:v>
                </c:pt>
                <c:pt idx="5">
                  <c:v>0.55000000000000004</c:v>
                </c:pt>
                <c:pt idx="6">
                  <c:v>0.65</c:v>
                </c:pt>
                <c:pt idx="7">
                  <c:v>0.75</c:v>
                </c:pt>
                <c:pt idx="8">
                  <c:v>0.85000000000000009</c:v>
                </c:pt>
                <c:pt idx="9">
                  <c:v>0.95000000000000007</c:v>
                </c:pt>
              </c:numCache>
            </c:numRef>
          </c:xVal>
          <c:yVal>
            <c:numRef>
              <c:f>results!$B$98:$K$98</c:f>
              <c:numCache>
                <c:formatCode>0.00E+00</c:formatCode>
                <c:ptCount val="10"/>
                <c:pt idx="0">
                  <c:v>-6.0890500000000004E-3</c:v>
                </c:pt>
                <c:pt idx="1">
                  <c:v>-2.0106799999999999E-3</c:v>
                </c:pt>
                <c:pt idx="2">
                  <c:v>-7.0935099999999999E-4</c:v>
                </c:pt>
                <c:pt idx="3">
                  <c:v>-2.6166900000000002E-4</c:v>
                </c:pt>
                <c:pt idx="4">
                  <c:v>-9.9555600000000006E-5</c:v>
                </c:pt>
                <c:pt idx="5">
                  <c:v>-3.8687399999999998E-5</c:v>
                </c:pt>
                <c:pt idx="6">
                  <c:v>-1.5259200000000001E-5</c:v>
                </c:pt>
                <c:pt idx="7">
                  <c:v>-6.10787E-6</c:v>
                </c:pt>
                <c:pt idx="8">
                  <c:v>-2.5493299999999999E-6</c:v>
                </c:pt>
                <c:pt idx="9">
                  <c:v>-1.3103599999999999E-6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705-441E-BBEA-D3EC8F9D91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57452688"/>
        <c:axId val="185893712"/>
      </c:scatterChart>
      <c:valAx>
        <c:axId val="20574526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893712"/>
        <c:crosses val="autoZero"/>
        <c:crossBetween val="midCat"/>
      </c:valAx>
      <c:valAx>
        <c:axId val="185893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74526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467360017497813"/>
          <c:y val="0.33558926186858218"/>
          <c:w val="0.16159733158355205"/>
          <c:h val="0.39473960491780635"/>
        </c:manualLayout>
      </c:layout>
      <c:overlay val="1"/>
      <c:spPr>
        <a:solidFill>
          <a:sysClr val="window" lastClr="FFFFFF"/>
        </a:solidFill>
        <a:ln>
          <a:solidFill>
            <a:sysClr val="windowText" lastClr="000000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cl-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1"/>
          <c:tx>
            <c:strRef>
              <c:f>results!$B$18</c:f>
              <c:strCache>
                <c:ptCount val="1"/>
                <c:pt idx="0">
                  <c:v>t=0.01d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results!$B$2:$K$2</c:f>
              <c:numCache>
                <c:formatCode>General</c:formatCode>
                <c:ptCount val="10"/>
                <c:pt idx="0">
                  <c:v>0.05</c:v>
                </c:pt>
                <c:pt idx="1">
                  <c:v>0.15000000000000002</c:v>
                </c:pt>
                <c:pt idx="2">
                  <c:v>0.25</c:v>
                </c:pt>
                <c:pt idx="3">
                  <c:v>0.35000000000000003</c:v>
                </c:pt>
                <c:pt idx="4">
                  <c:v>0.45</c:v>
                </c:pt>
                <c:pt idx="5">
                  <c:v>0.55000000000000004</c:v>
                </c:pt>
                <c:pt idx="6">
                  <c:v>0.65</c:v>
                </c:pt>
                <c:pt idx="7">
                  <c:v>0.75</c:v>
                </c:pt>
                <c:pt idx="8">
                  <c:v>0.85000000000000009</c:v>
                </c:pt>
                <c:pt idx="9">
                  <c:v>0.95000000000000007</c:v>
                </c:pt>
              </c:numCache>
            </c:numRef>
          </c:xVal>
          <c:yVal>
            <c:numRef>
              <c:f>results!$B$20:$K$20</c:f>
              <c:numCache>
                <c:formatCode>0.0000E+00</c:formatCode>
                <c:ptCount val="10"/>
                <c:pt idx="0">
                  <c:v>3.0155099999999999E-5</c:v>
                </c:pt>
                <c:pt idx="1">
                  <c:v>7.4218300000000002E-6</c:v>
                </c:pt>
                <c:pt idx="2">
                  <c:v>1.82667E-6</c:v>
                </c:pt>
                <c:pt idx="3">
                  <c:v>4.4958300000000001E-7</c:v>
                </c:pt>
                <c:pt idx="4">
                  <c:v>1.10652E-7</c:v>
                </c:pt>
                <c:pt idx="5">
                  <c:v>2.7233899999999999E-8</c:v>
                </c:pt>
                <c:pt idx="6">
                  <c:v>6.7030900000000003E-9</c:v>
                </c:pt>
                <c:pt idx="7">
                  <c:v>1.65079E-9</c:v>
                </c:pt>
                <c:pt idx="8">
                  <c:v>4.1083699999999997E-10</c:v>
                </c:pt>
                <c:pt idx="9">
                  <c:v>1.2151499999999999E-10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7BA-4D13-A8F5-FBFA613F3189}"/>
            </c:ext>
          </c:extLst>
        </c:ser>
        <c:ser>
          <c:idx val="3"/>
          <c:order val="2"/>
          <c:tx>
            <c:strRef>
              <c:f>results!$B$35</c:f>
              <c:strCache>
                <c:ptCount val="1"/>
                <c:pt idx="0">
                  <c:v>t=0.02d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results!$B$2:$K$2</c:f>
              <c:numCache>
                <c:formatCode>General</c:formatCode>
                <c:ptCount val="10"/>
                <c:pt idx="0">
                  <c:v>0.05</c:v>
                </c:pt>
                <c:pt idx="1">
                  <c:v>0.15000000000000002</c:v>
                </c:pt>
                <c:pt idx="2">
                  <c:v>0.25</c:v>
                </c:pt>
                <c:pt idx="3">
                  <c:v>0.35000000000000003</c:v>
                </c:pt>
                <c:pt idx="4">
                  <c:v>0.45</c:v>
                </c:pt>
                <c:pt idx="5">
                  <c:v>0.55000000000000004</c:v>
                </c:pt>
                <c:pt idx="6">
                  <c:v>0.65</c:v>
                </c:pt>
                <c:pt idx="7">
                  <c:v>0.75</c:v>
                </c:pt>
                <c:pt idx="8">
                  <c:v>0.85000000000000009</c:v>
                </c:pt>
                <c:pt idx="9">
                  <c:v>0.95000000000000007</c:v>
                </c:pt>
              </c:numCache>
            </c:numRef>
          </c:xVal>
          <c:yVal>
            <c:numRef>
              <c:f>results!$B$37:$K$37</c:f>
              <c:numCache>
                <c:formatCode>0.0000E+00</c:formatCode>
                <c:ptCount val="10"/>
                <c:pt idx="0">
                  <c:v>5.4206599999999997E-5</c:v>
                </c:pt>
                <c:pt idx="1">
                  <c:v>1.79428E-5</c:v>
                </c:pt>
                <c:pt idx="2">
                  <c:v>5.5486200000000002E-6</c:v>
                </c:pt>
                <c:pt idx="3">
                  <c:v>1.6443699999999999E-6</c:v>
                </c:pt>
                <c:pt idx="4">
                  <c:v>4.7331699999999998E-7</c:v>
                </c:pt>
                <c:pt idx="5">
                  <c:v>1.3337899999999999E-7</c:v>
                </c:pt>
                <c:pt idx="6">
                  <c:v>3.6985200000000001E-8</c:v>
                </c:pt>
                <c:pt idx="7">
                  <c:v>1.0134900000000001E-8</c:v>
                </c:pt>
                <c:pt idx="8">
                  <c:v>2.7850299999999998E-9</c:v>
                </c:pt>
                <c:pt idx="9">
                  <c:v>9.0931499999999998E-10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7BA-4D13-A8F5-FBFA613F3189}"/>
            </c:ext>
          </c:extLst>
        </c:ser>
        <c:ser>
          <c:idx val="2"/>
          <c:order val="3"/>
          <c:tx>
            <c:strRef>
              <c:f>results!$B$52</c:f>
              <c:strCache>
                <c:ptCount val="1"/>
                <c:pt idx="0">
                  <c:v>t=0.1d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results!$B$2:$K$2</c:f>
              <c:numCache>
                <c:formatCode>General</c:formatCode>
                <c:ptCount val="10"/>
                <c:pt idx="0">
                  <c:v>0.05</c:v>
                </c:pt>
                <c:pt idx="1">
                  <c:v>0.15000000000000002</c:v>
                </c:pt>
                <c:pt idx="2">
                  <c:v>0.25</c:v>
                </c:pt>
                <c:pt idx="3">
                  <c:v>0.35000000000000003</c:v>
                </c:pt>
                <c:pt idx="4">
                  <c:v>0.45</c:v>
                </c:pt>
                <c:pt idx="5">
                  <c:v>0.55000000000000004</c:v>
                </c:pt>
                <c:pt idx="6">
                  <c:v>0.65</c:v>
                </c:pt>
                <c:pt idx="7">
                  <c:v>0.75</c:v>
                </c:pt>
                <c:pt idx="8">
                  <c:v>0.85000000000000009</c:v>
                </c:pt>
                <c:pt idx="9">
                  <c:v>0.95000000000000007</c:v>
                </c:pt>
              </c:numCache>
            </c:numRef>
          </c:xVal>
          <c:yVal>
            <c:numRef>
              <c:f>results!$B$54:$K$54</c:f>
              <c:numCache>
                <c:formatCode>0.00E+00</c:formatCode>
                <c:ptCount val="10"/>
                <c:pt idx="0">
                  <c:v>1.65601E-4</c:v>
                </c:pt>
                <c:pt idx="1">
                  <c:v>1.0440700000000001E-4</c:v>
                </c:pt>
                <c:pt idx="2">
                  <c:v>6.1565100000000005E-5</c:v>
                </c:pt>
                <c:pt idx="3">
                  <c:v>3.4109100000000002E-5</c:v>
                </c:pt>
                <c:pt idx="4">
                  <c:v>1.7853799999999998E-5</c:v>
                </c:pt>
                <c:pt idx="5">
                  <c:v>8.8798799999999998E-6</c:v>
                </c:pt>
                <c:pt idx="6">
                  <c:v>4.2223000000000002E-6</c:v>
                </c:pt>
                <c:pt idx="7">
                  <c:v>1.9383799999999998E-6</c:v>
                </c:pt>
                <c:pt idx="8">
                  <c:v>8.9038200000000001E-7</c:v>
                </c:pt>
                <c:pt idx="9">
                  <c:v>4.8505199999999997E-7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DAF-4AC5-BCED-56DF471755E1}"/>
            </c:ext>
          </c:extLst>
        </c:ser>
        <c:ser>
          <c:idx val="4"/>
          <c:order val="4"/>
          <c:tx>
            <c:strRef>
              <c:f>results!$B$69</c:f>
              <c:strCache>
                <c:ptCount val="1"/>
                <c:pt idx="0">
                  <c:v>t=1d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results!$B$2:$K$2</c:f>
              <c:numCache>
                <c:formatCode>General</c:formatCode>
                <c:ptCount val="10"/>
                <c:pt idx="0">
                  <c:v>0.05</c:v>
                </c:pt>
                <c:pt idx="1">
                  <c:v>0.15000000000000002</c:v>
                </c:pt>
                <c:pt idx="2">
                  <c:v>0.25</c:v>
                </c:pt>
                <c:pt idx="3">
                  <c:v>0.35000000000000003</c:v>
                </c:pt>
                <c:pt idx="4">
                  <c:v>0.45</c:v>
                </c:pt>
                <c:pt idx="5">
                  <c:v>0.55000000000000004</c:v>
                </c:pt>
                <c:pt idx="6">
                  <c:v>0.65</c:v>
                </c:pt>
                <c:pt idx="7">
                  <c:v>0.75</c:v>
                </c:pt>
                <c:pt idx="8">
                  <c:v>0.85000000000000009</c:v>
                </c:pt>
                <c:pt idx="9">
                  <c:v>0.95000000000000007</c:v>
                </c:pt>
              </c:numCache>
            </c:numRef>
          </c:xVal>
          <c:yVal>
            <c:numRef>
              <c:f>results!$B$71:$K$71</c:f>
              <c:numCache>
                <c:formatCode>0.00E+00</c:formatCode>
                <c:ptCount val="10"/>
                <c:pt idx="0">
                  <c:v>5.2205299999999997E-4</c:v>
                </c:pt>
                <c:pt idx="1">
                  <c:v>4.77799E-4</c:v>
                </c:pt>
                <c:pt idx="2">
                  <c:v>4.3548300000000002E-4</c:v>
                </c:pt>
                <c:pt idx="3">
                  <c:v>3.9580799999999999E-4</c:v>
                </c:pt>
                <c:pt idx="4">
                  <c:v>3.5949499999999999E-4</c:v>
                </c:pt>
                <c:pt idx="5">
                  <c:v>3.2728400000000001E-4</c:v>
                </c:pt>
                <c:pt idx="6">
                  <c:v>2.9993100000000003E-4</c:v>
                </c:pt>
                <c:pt idx="7">
                  <c:v>2.7820999999999998E-4</c:v>
                </c:pt>
                <c:pt idx="8">
                  <c:v>2.6291200000000002E-4</c:v>
                </c:pt>
                <c:pt idx="9">
                  <c:v>2.5484699999999999E-4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838-49C1-82F6-FBC50A9314E2}"/>
            </c:ext>
          </c:extLst>
        </c:ser>
        <c:ser>
          <c:idx val="5"/>
          <c:order val="5"/>
          <c:tx>
            <c:strRef>
              <c:f>results!$B$86:$K$86</c:f>
              <c:strCache>
                <c:ptCount val="10"/>
                <c:pt idx="0">
                  <c:v>t=5d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results!$B$2:$K$2</c:f>
              <c:numCache>
                <c:formatCode>General</c:formatCode>
                <c:ptCount val="10"/>
                <c:pt idx="0">
                  <c:v>0.05</c:v>
                </c:pt>
                <c:pt idx="1">
                  <c:v>0.15000000000000002</c:v>
                </c:pt>
                <c:pt idx="2">
                  <c:v>0.25</c:v>
                </c:pt>
                <c:pt idx="3">
                  <c:v>0.35000000000000003</c:v>
                </c:pt>
                <c:pt idx="4">
                  <c:v>0.45</c:v>
                </c:pt>
                <c:pt idx="5">
                  <c:v>0.55000000000000004</c:v>
                </c:pt>
                <c:pt idx="6">
                  <c:v>0.65</c:v>
                </c:pt>
                <c:pt idx="7">
                  <c:v>0.75</c:v>
                </c:pt>
                <c:pt idx="8">
                  <c:v>0.85000000000000009</c:v>
                </c:pt>
                <c:pt idx="9">
                  <c:v>0.95000000000000007</c:v>
                </c:pt>
              </c:numCache>
            </c:numRef>
          </c:xVal>
          <c:yVal>
            <c:numRef>
              <c:f>results!$B$88:$K$88</c:f>
              <c:numCache>
                <c:formatCode>0.000000E+00</c:formatCode>
                <c:ptCount val="10"/>
                <c:pt idx="0">
                  <c:v>9.2641000000000002E-4</c:v>
                </c:pt>
                <c:pt idx="1">
                  <c:v>9.1956999999999998E-4</c:v>
                </c:pt>
                <c:pt idx="2" formatCode="0.0000E+00">
                  <c:v>9.1300099999999998E-4</c:v>
                </c:pt>
                <c:pt idx="3" formatCode="0.0000E+00">
                  <c:v>9.06812E-4</c:v>
                </c:pt>
                <c:pt idx="4" formatCode="0.0000E+00">
                  <c:v>9.0111900000000003E-4</c:v>
                </c:pt>
                <c:pt idx="5" formatCode="0.0000E+00">
                  <c:v>8.9604500000000004E-4</c:v>
                </c:pt>
                <c:pt idx="6" formatCode="0.0000E+00">
                  <c:v>8.9171699999999999E-4</c:v>
                </c:pt>
                <c:pt idx="7" formatCode="0.0000E+00">
                  <c:v>8.88268E-4</c:v>
                </c:pt>
                <c:pt idx="8" formatCode="0.0000E+00">
                  <c:v>8.8583100000000001E-4</c:v>
                </c:pt>
                <c:pt idx="9" formatCode="0.0000E+00">
                  <c:v>8.8454500000000004E-4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DA5-4F18-B227-B6D29A0036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57452688"/>
        <c:axId val="185893712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results!$B$5</c15:sqref>
                        </c15:formulaRef>
                      </c:ext>
                    </c:extLst>
                    <c:strCache>
                      <c:ptCount val="1"/>
                      <c:pt idx="0">
                        <c:v>t=0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results!$B$2:$K$2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0.05</c:v>
                      </c:pt>
                      <c:pt idx="1">
                        <c:v>0.15000000000000002</c:v>
                      </c:pt>
                      <c:pt idx="2">
                        <c:v>0.25</c:v>
                      </c:pt>
                      <c:pt idx="3">
                        <c:v>0.35000000000000003</c:v>
                      </c:pt>
                      <c:pt idx="4">
                        <c:v>0.45</c:v>
                      </c:pt>
                      <c:pt idx="5">
                        <c:v>0.55000000000000004</c:v>
                      </c:pt>
                      <c:pt idx="6">
                        <c:v>0.65</c:v>
                      </c:pt>
                      <c:pt idx="7">
                        <c:v>0.75</c:v>
                      </c:pt>
                      <c:pt idx="8">
                        <c:v>0.85000000000000009</c:v>
                      </c:pt>
                      <c:pt idx="9">
                        <c:v>0.95000000000000007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results!$B$7:$K$7</c15:sqref>
                        </c15:formulaRef>
                      </c:ext>
                    </c:extLst>
                    <c:numCache>
                      <c:formatCode>0.00E+00</c:formatCode>
                      <c:ptCount val="10"/>
                      <c:pt idx="0">
                        <c:v>9.9999999999999998E-17</c:v>
                      </c:pt>
                      <c:pt idx="1">
                        <c:v>9.9999999999999998E-17</c:v>
                      </c:pt>
                      <c:pt idx="2">
                        <c:v>9.9999999999999998E-17</c:v>
                      </c:pt>
                      <c:pt idx="3">
                        <c:v>9.9999999999999998E-17</c:v>
                      </c:pt>
                      <c:pt idx="4">
                        <c:v>9.9999999999999998E-17</c:v>
                      </c:pt>
                      <c:pt idx="5">
                        <c:v>9.9999999999999998E-17</c:v>
                      </c:pt>
                      <c:pt idx="6">
                        <c:v>9.9999999999999998E-17</c:v>
                      </c:pt>
                      <c:pt idx="7">
                        <c:v>9.9999999999999998E-17</c:v>
                      </c:pt>
                      <c:pt idx="8">
                        <c:v>9.9999999999999998E-17</c:v>
                      </c:pt>
                      <c:pt idx="9">
                        <c:v>9.9999999999999998E-17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F7BA-4D13-A8F5-FBFA613F3189}"/>
                  </c:ext>
                </c:extLst>
              </c15:ser>
            </c15:filteredScatterSeries>
          </c:ext>
        </c:extLst>
      </c:scatterChart>
      <c:valAx>
        <c:axId val="20574526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893712"/>
        <c:crosses val="autoZero"/>
        <c:crossBetween val="midCat"/>
      </c:valAx>
      <c:valAx>
        <c:axId val="185893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conc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74526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1340266841644797"/>
          <c:y val="0.3168758115761845"/>
          <c:w val="0.32826399825021874"/>
          <c:h val="0.20760510199382973"/>
        </c:manualLayout>
      </c:layout>
      <c:overlay val="1"/>
      <c:spPr>
        <a:solidFill>
          <a:sysClr val="window" lastClr="FFFFFF"/>
        </a:solidFill>
        <a:ln>
          <a:solidFill>
            <a:sysClr val="windowText" lastClr="000000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1"/>
          <c:tx>
            <c:strRef>
              <c:f>results!$B$18</c:f>
              <c:strCache>
                <c:ptCount val="1"/>
                <c:pt idx="0">
                  <c:v>t=0.01d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results!$B$2:$K$2</c:f>
              <c:numCache>
                <c:formatCode>General</c:formatCode>
                <c:ptCount val="10"/>
                <c:pt idx="0">
                  <c:v>0.05</c:v>
                </c:pt>
                <c:pt idx="1">
                  <c:v>0.15000000000000002</c:v>
                </c:pt>
                <c:pt idx="2">
                  <c:v>0.25</c:v>
                </c:pt>
                <c:pt idx="3">
                  <c:v>0.35000000000000003</c:v>
                </c:pt>
                <c:pt idx="4">
                  <c:v>0.45</c:v>
                </c:pt>
                <c:pt idx="5">
                  <c:v>0.55000000000000004</c:v>
                </c:pt>
                <c:pt idx="6">
                  <c:v>0.65</c:v>
                </c:pt>
                <c:pt idx="7">
                  <c:v>0.75</c:v>
                </c:pt>
                <c:pt idx="8">
                  <c:v>0.85000000000000009</c:v>
                </c:pt>
                <c:pt idx="9">
                  <c:v>0.95000000000000007</c:v>
                </c:pt>
              </c:numCache>
            </c:numRef>
          </c:xVal>
          <c:yVal>
            <c:numRef>
              <c:f>results!$B$27:$K$27</c:f>
              <c:numCache>
                <c:formatCode>0.00E+00</c:formatCode>
                <c:ptCount val="10"/>
                <c:pt idx="0">
                  <c:v>3.2577100000000001E-7</c:v>
                </c:pt>
                <c:pt idx="1">
                  <c:v>2.5850300000000002E-7</c:v>
                </c:pt>
                <c:pt idx="2">
                  <c:v>2.1404500000000001E-7</c:v>
                </c:pt>
                <c:pt idx="3">
                  <c:v>1.94357E-7</c:v>
                </c:pt>
                <c:pt idx="4">
                  <c:v>1.8840099999999999E-7</c:v>
                </c:pt>
                <c:pt idx="5">
                  <c:v>1.8685000000000001E-7</c:v>
                </c:pt>
                <c:pt idx="6">
                  <c:v>1.8646199999999999E-7</c:v>
                </c:pt>
                <c:pt idx="7">
                  <c:v>1.8636599999999999E-7</c:v>
                </c:pt>
                <c:pt idx="8">
                  <c:v>1.8634299999999999E-7</c:v>
                </c:pt>
                <c:pt idx="9">
                  <c:v>1.8633700000000001E-7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67A-45FC-8DE6-63087C92D560}"/>
            </c:ext>
          </c:extLst>
        </c:ser>
        <c:ser>
          <c:idx val="3"/>
          <c:order val="2"/>
          <c:tx>
            <c:strRef>
              <c:f>results!$B$35</c:f>
              <c:strCache>
                <c:ptCount val="1"/>
                <c:pt idx="0">
                  <c:v>t=0.02d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results!$B$2:$K$2</c:f>
              <c:numCache>
                <c:formatCode>General</c:formatCode>
                <c:ptCount val="10"/>
                <c:pt idx="0">
                  <c:v>0.05</c:v>
                </c:pt>
                <c:pt idx="1">
                  <c:v>0.15000000000000002</c:v>
                </c:pt>
                <c:pt idx="2">
                  <c:v>0.25</c:v>
                </c:pt>
                <c:pt idx="3">
                  <c:v>0.35000000000000003</c:v>
                </c:pt>
                <c:pt idx="4">
                  <c:v>0.45</c:v>
                </c:pt>
                <c:pt idx="5">
                  <c:v>0.55000000000000004</c:v>
                </c:pt>
                <c:pt idx="6">
                  <c:v>0.65</c:v>
                </c:pt>
                <c:pt idx="7">
                  <c:v>0.75</c:v>
                </c:pt>
                <c:pt idx="8">
                  <c:v>0.85000000000000009</c:v>
                </c:pt>
                <c:pt idx="9">
                  <c:v>0.95000000000000007</c:v>
                </c:pt>
              </c:numCache>
            </c:numRef>
          </c:xVal>
          <c:yVal>
            <c:numRef>
              <c:f>results!$B$44:$K$44</c:f>
              <c:numCache>
                <c:formatCode>0.00E+00</c:formatCode>
                <c:ptCount val="10"/>
                <c:pt idx="0">
                  <c:v>1.9770200000000001E-7</c:v>
                </c:pt>
                <c:pt idx="1">
                  <c:v>1.16237E-7</c:v>
                </c:pt>
                <c:pt idx="2">
                  <c:v>7.1724300000000004E-8</c:v>
                </c:pt>
                <c:pt idx="3">
                  <c:v>4.7899200000000002E-8</c:v>
                </c:pt>
                <c:pt idx="4">
                  <c:v>3.8866900000000001E-8</c:v>
                </c:pt>
                <c:pt idx="5">
                  <c:v>3.6282E-8</c:v>
                </c:pt>
                <c:pt idx="6">
                  <c:v>3.5629199999999999E-8</c:v>
                </c:pt>
                <c:pt idx="7">
                  <c:v>3.5471199999999998E-8</c:v>
                </c:pt>
                <c:pt idx="8">
                  <c:v>3.5433600000000003E-8</c:v>
                </c:pt>
                <c:pt idx="9">
                  <c:v>3.54251E-8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67A-45FC-8DE6-63087C92D560}"/>
            </c:ext>
          </c:extLst>
        </c:ser>
        <c:ser>
          <c:idx val="2"/>
          <c:order val="3"/>
          <c:tx>
            <c:strRef>
              <c:f>results!$B$52</c:f>
              <c:strCache>
                <c:ptCount val="1"/>
                <c:pt idx="0">
                  <c:v>t=0.1d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results!$B$2:$K$2</c:f>
              <c:numCache>
                <c:formatCode>General</c:formatCode>
                <c:ptCount val="10"/>
                <c:pt idx="0">
                  <c:v>0.05</c:v>
                </c:pt>
                <c:pt idx="1">
                  <c:v>0.15000000000000002</c:v>
                </c:pt>
                <c:pt idx="2">
                  <c:v>0.25</c:v>
                </c:pt>
                <c:pt idx="3">
                  <c:v>0.35000000000000003</c:v>
                </c:pt>
                <c:pt idx="4">
                  <c:v>0.45</c:v>
                </c:pt>
                <c:pt idx="5">
                  <c:v>0.55000000000000004</c:v>
                </c:pt>
                <c:pt idx="6">
                  <c:v>0.65</c:v>
                </c:pt>
                <c:pt idx="7">
                  <c:v>0.75</c:v>
                </c:pt>
                <c:pt idx="8">
                  <c:v>0.85000000000000009</c:v>
                </c:pt>
                <c:pt idx="9">
                  <c:v>0.95000000000000007</c:v>
                </c:pt>
              </c:numCache>
            </c:numRef>
          </c:xVal>
          <c:yVal>
            <c:numRef>
              <c:f>results!$B$61:$K$61</c:f>
              <c:numCache>
                <c:formatCode>0.00E+00</c:formatCode>
                <c:ptCount val="10"/>
                <c:pt idx="0">
                  <c:v>1.07488E-7</c:v>
                </c:pt>
                <c:pt idx="1">
                  <c:v>3.9233099999999997E-8</c:v>
                </c:pt>
                <c:pt idx="2">
                  <c:v>1.50428E-8</c:v>
                </c:pt>
                <c:pt idx="3">
                  <c:v>5.9540199999999997E-9</c:v>
                </c:pt>
                <c:pt idx="4">
                  <c:v>2.3820800000000001E-9</c:v>
                </c:pt>
                <c:pt idx="5">
                  <c:v>9.3080200000000005E-10</c:v>
                </c:pt>
                <c:pt idx="6">
                  <c:v>3.41951E-10</c:v>
                </c:pt>
                <c:pt idx="7">
                  <c:v>1.15887E-10</c:v>
                </c:pt>
                <c:pt idx="8">
                  <c:v>3.7045099999999999E-11</c:v>
                </c:pt>
                <c:pt idx="9">
                  <c:v>1.35391E-11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67A-45FC-8DE6-63087C92D560}"/>
            </c:ext>
          </c:extLst>
        </c:ser>
        <c:ser>
          <c:idx val="0"/>
          <c:order val="4"/>
          <c:tx>
            <c:strRef>
              <c:f>results!$B$69</c:f>
              <c:strCache>
                <c:ptCount val="1"/>
                <c:pt idx="0">
                  <c:v>t=1d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results!$B$2:$K$2</c:f>
              <c:numCache>
                <c:formatCode>General</c:formatCode>
                <c:ptCount val="10"/>
                <c:pt idx="0">
                  <c:v>0.05</c:v>
                </c:pt>
                <c:pt idx="1">
                  <c:v>0.15000000000000002</c:v>
                </c:pt>
                <c:pt idx="2">
                  <c:v>0.25</c:v>
                </c:pt>
                <c:pt idx="3">
                  <c:v>0.35000000000000003</c:v>
                </c:pt>
                <c:pt idx="4">
                  <c:v>0.45</c:v>
                </c:pt>
                <c:pt idx="5">
                  <c:v>0.55000000000000004</c:v>
                </c:pt>
                <c:pt idx="6">
                  <c:v>0.65</c:v>
                </c:pt>
                <c:pt idx="7">
                  <c:v>0.75</c:v>
                </c:pt>
                <c:pt idx="8">
                  <c:v>0.85000000000000009</c:v>
                </c:pt>
                <c:pt idx="9">
                  <c:v>0.95000000000000007</c:v>
                </c:pt>
              </c:numCache>
            </c:numRef>
          </c:xVal>
          <c:yVal>
            <c:numRef>
              <c:f>results!$B$78:$K$78</c:f>
              <c:numCache>
                <c:formatCode>0.00E+00</c:formatCode>
                <c:ptCount val="10"/>
                <c:pt idx="0">
                  <c:v>6.5629499999999999E-8</c:v>
                </c:pt>
                <c:pt idx="1">
                  <c:v>1.8204799999999999E-8</c:v>
                </c:pt>
                <c:pt idx="2">
                  <c:v>5.0265800000000002E-9</c:v>
                </c:pt>
                <c:pt idx="3">
                  <c:v>1.3769999999999999E-9</c:v>
                </c:pt>
                <c:pt idx="4">
                  <c:v>3.7511399999999999E-10</c:v>
                </c:pt>
                <c:pt idx="5">
                  <c:v>1.01686E-10</c:v>
                </c:pt>
                <c:pt idx="6">
                  <c:v>2.7381799999999999E-11</c:v>
                </c:pt>
                <c:pt idx="7">
                  <c:v>7.2989299999999995E-12</c:v>
                </c:pt>
                <c:pt idx="8">
                  <c:v>1.9346699999999999E-12</c:v>
                </c:pt>
                <c:pt idx="9">
                  <c:v>5.9635500000000004E-13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67A-45FC-8DE6-63087C92D560}"/>
            </c:ext>
          </c:extLst>
        </c:ser>
        <c:ser>
          <c:idx val="5"/>
          <c:order val="5"/>
          <c:tx>
            <c:strRef>
              <c:f>results!$B$86</c:f>
              <c:strCache>
                <c:ptCount val="1"/>
                <c:pt idx="0">
                  <c:v>t=5d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results!$B$2:$K$2</c:f>
              <c:numCache>
                <c:formatCode>General</c:formatCode>
                <c:ptCount val="10"/>
                <c:pt idx="0">
                  <c:v>0.05</c:v>
                </c:pt>
                <c:pt idx="1">
                  <c:v>0.15000000000000002</c:v>
                </c:pt>
                <c:pt idx="2">
                  <c:v>0.25</c:v>
                </c:pt>
                <c:pt idx="3">
                  <c:v>0.35000000000000003</c:v>
                </c:pt>
                <c:pt idx="4">
                  <c:v>0.45</c:v>
                </c:pt>
                <c:pt idx="5">
                  <c:v>0.55000000000000004</c:v>
                </c:pt>
                <c:pt idx="6">
                  <c:v>0.65</c:v>
                </c:pt>
                <c:pt idx="7">
                  <c:v>0.75</c:v>
                </c:pt>
                <c:pt idx="8">
                  <c:v>0.85000000000000009</c:v>
                </c:pt>
                <c:pt idx="9">
                  <c:v>0.95000000000000007</c:v>
                </c:pt>
              </c:numCache>
            </c:numRef>
          </c:xVal>
          <c:yVal>
            <c:numRef>
              <c:f>results!$B$95:$K$95</c:f>
              <c:numCache>
                <c:formatCode>0.000000E+00</c:formatCode>
                <c:ptCount val="10"/>
                <c:pt idx="0">
                  <c:v>4.7104000000000003E-8</c:v>
                </c:pt>
                <c:pt idx="1">
                  <c:v>1.18008E-8</c:v>
                </c:pt>
                <c:pt idx="2" formatCode="0.00E+00">
                  <c:v>2.9555E-9</c:v>
                </c:pt>
                <c:pt idx="3" formatCode="0.00E+00">
                  <c:v>7.3715700000000004E-10</c:v>
                </c:pt>
                <c:pt idx="4" formatCode="0.00E+00">
                  <c:v>1.8334699999999999E-10</c:v>
                </c:pt>
                <c:pt idx="5" formatCode="0.00E+00">
                  <c:v>4.55278E-11</c:v>
                </c:pt>
                <c:pt idx="6" formatCode="0.00E+00">
                  <c:v>1.1293300000000001E-11</c:v>
                </c:pt>
                <c:pt idx="7" formatCode="0.00E+00">
                  <c:v>2.8005100000000002E-12</c:v>
                </c:pt>
                <c:pt idx="8" formatCode="0.00E+00">
                  <c:v>7.0127099999999997E-13</c:v>
                </c:pt>
                <c:pt idx="9" formatCode="0.00E+00">
                  <c:v>2.0859E-13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67A-45FC-8DE6-63087C92D5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57452688"/>
        <c:axId val="185893712"/>
        <c:extLst>
          <c:ext xmlns:c15="http://schemas.microsoft.com/office/drawing/2012/chart" uri="{02D57815-91ED-43cb-92C2-25804820EDAC}">
            <c15:filteredScatterSeries>
              <c15:ser>
                <c:idx val="4"/>
                <c:order val="0"/>
                <c:tx>
                  <c:strRef>
                    <c:extLst>
                      <c:ext uri="{02D57815-91ED-43cb-92C2-25804820EDAC}">
                        <c15:formulaRef>
                          <c15:sqref>results!$B$5</c15:sqref>
                        </c15:formulaRef>
                      </c:ext>
                    </c:extLst>
                    <c:strCache>
                      <c:ptCount val="1"/>
                      <c:pt idx="0">
                        <c:v>t=0</c:v>
                      </c:pt>
                    </c:strCache>
                  </c:strRef>
                </c:tx>
                <c:spPr>
                  <a:ln w="19050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results!$B$2:$K$2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0.05</c:v>
                      </c:pt>
                      <c:pt idx="1">
                        <c:v>0.15000000000000002</c:v>
                      </c:pt>
                      <c:pt idx="2">
                        <c:v>0.25</c:v>
                      </c:pt>
                      <c:pt idx="3">
                        <c:v>0.35000000000000003</c:v>
                      </c:pt>
                      <c:pt idx="4">
                        <c:v>0.45</c:v>
                      </c:pt>
                      <c:pt idx="5">
                        <c:v>0.55000000000000004</c:v>
                      </c:pt>
                      <c:pt idx="6">
                        <c:v>0.65</c:v>
                      </c:pt>
                      <c:pt idx="7">
                        <c:v>0.75</c:v>
                      </c:pt>
                      <c:pt idx="8">
                        <c:v>0.85000000000000009</c:v>
                      </c:pt>
                      <c:pt idx="9">
                        <c:v>0.95000000000000007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results!$B$12:$K$12</c15:sqref>
                        </c15:formulaRef>
                      </c:ext>
                    </c:extLst>
                    <c:numCache>
                      <c:formatCode>0.00E+00</c:formatCode>
                      <c:ptCount val="10"/>
                      <c:pt idx="0">
                        <c:v>7.0583E-3</c:v>
                      </c:pt>
                      <c:pt idx="1">
                        <c:v>7.0583E-3</c:v>
                      </c:pt>
                      <c:pt idx="2">
                        <c:v>7.0583E-3</c:v>
                      </c:pt>
                      <c:pt idx="3">
                        <c:v>7.0583E-3</c:v>
                      </c:pt>
                      <c:pt idx="4">
                        <c:v>7.0583E-3</c:v>
                      </c:pt>
                      <c:pt idx="5">
                        <c:v>7.0583E-3</c:v>
                      </c:pt>
                      <c:pt idx="6">
                        <c:v>7.0583E-3</c:v>
                      </c:pt>
                      <c:pt idx="7">
                        <c:v>7.0583E-3</c:v>
                      </c:pt>
                      <c:pt idx="8">
                        <c:v>7.0583E-3</c:v>
                      </c:pt>
                      <c:pt idx="9">
                        <c:v>7.0583E-3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5-267A-45FC-8DE6-63087C92D560}"/>
                  </c:ext>
                </c:extLst>
              </c15:ser>
            </c15:filteredScatterSeries>
          </c:ext>
        </c:extLst>
      </c:scatterChart>
      <c:valAx>
        <c:axId val="20574526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893712"/>
        <c:crosses val="autoZero"/>
        <c:crossBetween val="midCat"/>
      </c:valAx>
      <c:valAx>
        <c:axId val="185893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conc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74526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58284711286089241"/>
          <c:y val="0.12506294607910851"/>
          <c:w val="0.3671528871391076"/>
          <c:h val="0.22164018971312796"/>
        </c:manualLayout>
      </c:layout>
      <c:overlay val="1"/>
      <c:spPr>
        <a:solidFill>
          <a:sysClr val="window" lastClr="FFFFFF"/>
        </a:solidFill>
        <a:ln>
          <a:solidFill>
            <a:sysClr val="windowText" lastClr="000000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chart" Target="../charts/chart9.xml"/><Relationship Id="rId3" Type="http://schemas.openxmlformats.org/officeDocument/2006/relationships/chart" Target="../charts/chart4.xml"/><Relationship Id="rId7" Type="http://schemas.openxmlformats.org/officeDocument/2006/relationships/chart" Target="../charts/chart8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6" Type="http://schemas.openxmlformats.org/officeDocument/2006/relationships/chart" Target="../charts/chart7.xml"/><Relationship Id="rId5" Type="http://schemas.openxmlformats.org/officeDocument/2006/relationships/chart" Target="../charts/chart6.xml"/><Relationship Id="rId10" Type="http://schemas.openxmlformats.org/officeDocument/2006/relationships/chart" Target="../charts/chart11.xml"/><Relationship Id="rId4" Type="http://schemas.openxmlformats.org/officeDocument/2006/relationships/chart" Target="../charts/chart5.xml"/><Relationship Id="rId9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249764</xdr:colOff>
      <xdr:row>7</xdr:row>
      <xdr:rowOff>56192</xdr:rowOff>
    </xdr:from>
    <xdr:to>
      <xdr:col>16</xdr:col>
      <xdr:colOff>529167</xdr:colOff>
      <xdr:row>13</xdr:row>
      <xdr:rowOff>89618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CuadroTexto 3">
              <a:extLst>
                <a:ext uri="{FF2B5EF4-FFF2-40B4-BE49-F238E27FC236}">
                  <a16:creationId xmlns:a16="http://schemas.microsoft.com/office/drawing/2014/main" id="{8717A590-3862-475A-9089-CA066A047198}"/>
                </a:ext>
              </a:extLst>
            </xdr:cNvPr>
            <xdr:cNvSpPr txBox="1"/>
          </xdr:nvSpPr>
          <xdr:spPr>
            <a:xfrm>
              <a:off x="3699931" y="1340303"/>
              <a:ext cx="10263014" cy="1134093"/>
            </a:xfrm>
            <a:prstGeom prst="rect">
              <a:avLst/>
            </a:prstGeom>
            <a:solidFill>
              <a:schemeClr val="bg1"/>
            </a:solidFill>
            <a:ln>
              <a:solidFill>
                <a:sysClr val="windowText" lastClr="000000"/>
              </a:solidFill>
            </a:ln>
          </xdr:spPr>
          <xdr:txBody>
            <a:bodyPr wrap="square" lIns="0" tIns="0" rIns="0" bIns="0" rtlCol="0">
              <a:sp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3600" b="0" i="1" kern="120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∀</m:t>
                    </m:r>
                    <m:r>
                      <a:rPr lang="es-ES" sz="3600" b="1" i="0" kern="120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s-ES" sz="3600" b="0" i="1" kern="120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𝑠</m:t>
                    </m:r>
                    <m:r>
                      <a:rPr lang="es-ES" sz="3600" b="0" i="1" kern="120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∈</m:t>
                    </m:r>
                    <m:d>
                      <m:dPr>
                        <m:begChr m:val="{"/>
                        <m:endChr m:val="}"/>
                        <m:ctrlPr>
                          <a:rPr lang="es-ES" sz="3600" b="0" i="1" kern="120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dPr>
                      <m:e>
                        <m:r>
                          <a:rPr lang="es-ES" sz="3600" b="0" i="1" kern="120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1,…,</m:t>
                        </m:r>
                        <m:sSub>
                          <m:sSubPr>
                            <m:ctrlPr>
                              <a:rPr lang="es-ES" sz="3600" b="0" i="1" kern="120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3600" b="0" i="1" kern="120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𝑛</m:t>
                            </m:r>
                          </m:e>
                          <m:sub>
                            <m:r>
                              <a:rPr lang="es-ES" sz="3600" b="0" i="1" kern="120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𝑎𝑞</m:t>
                            </m:r>
                          </m:sub>
                        </m:sSub>
                      </m:e>
                    </m:d>
                    <m:r>
                      <a:rPr lang="es-ES" sz="3600" b="1" i="1" kern="120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,</m:t>
                    </m:r>
                    <m:r>
                      <a:rPr lang="es-ES" sz="3600" b="1" i="0" kern="120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 </m:t>
                    </m:r>
                    <m:r>
                      <a:rPr lang="es-ES" sz="3600" b="1" i="0">
                        <a:latin typeface="Cambria Math" panose="02040503050406030204" pitchFamily="18" charset="0"/>
                      </a:rPr>
                      <m:t>𝐀</m:t>
                    </m:r>
                    <m:sSubSup>
                      <m:sSubSupPr>
                        <m:ctrlPr>
                          <a:rPr lang="es-ES" sz="3600" b="1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s-ES" sz="3600" b="1" i="0">
                            <a:latin typeface="Cambria Math" panose="02040503050406030204" pitchFamily="18" charset="0"/>
                          </a:rPr>
                          <m:t>𝐜</m:t>
                        </m:r>
                      </m:e>
                      <m:sub>
                        <m:r>
                          <a:rPr lang="es-ES" sz="3600" b="0" i="1">
                            <a:latin typeface="Cambria Math" panose="02040503050406030204" pitchFamily="18" charset="0"/>
                          </a:rPr>
                          <m:t>𝑠</m:t>
                        </m:r>
                      </m:sub>
                      <m:sup>
                        <m:r>
                          <a:rPr lang="es-ES" sz="3600" b="0" i="1">
                            <a:latin typeface="Cambria Math" panose="02040503050406030204" pitchFamily="18" charset="0"/>
                          </a:rPr>
                          <m:t>𝑘</m:t>
                        </m:r>
                        <m:r>
                          <a:rPr lang="es-ES" sz="3600" b="0" i="1">
                            <a:latin typeface="Cambria Math" panose="02040503050406030204" pitchFamily="18" charset="0"/>
                          </a:rPr>
                          <m:t>+1</m:t>
                        </m:r>
                      </m:sup>
                    </m:sSubSup>
                    <m:r>
                      <a:rPr lang="es-ES" sz="3600" b="0" i="1">
                        <a:latin typeface="Cambria Math" panose="02040503050406030204" pitchFamily="18" charset="0"/>
                      </a:rPr>
                      <m:t>=</m:t>
                    </m:r>
                    <m:sSubSup>
                      <m:sSubSupPr>
                        <m:ctrlPr>
                          <a:rPr lang="es-ES" sz="3600" b="1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s-ES" sz="3600" b="1" i="0">
                            <a:latin typeface="Cambria Math" panose="02040503050406030204" pitchFamily="18" charset="0"/>
                          </a:rPr>
                          <m:t>𝐜</m:t>
                        </m:r>
                      </m:e>
                      <m:sub>
                        <m:r>
                          <a:rPr lang="es-ES" sz="3600" b="0" i="1">
                            <a:latin typeface="Cambria Math" panose="02040503050406030204" pitchFamily="18" charset="0"/>
                          </a:rPr>
                          <m:t>𝑠</m:t>
                        </m:r>
                      </m:sub>
                      <m:sup>
                        <m:r>
                          <a:rPr lang="es-ES" sz="3600" b="0" i="1">
                            <a:latin typeface="Cambria Math" panose="02040503050406030204" pitchFamily="18" charset="0"/>
                          </a:rPr>
                          <m:t>𝑘</m:t>
                        </m:r>
                      </m:sup>
                    </m:sSubSup>
                    <m:r>
                      <a:rPr lang="es-ES" sz="3600" b="0" i="1">
                        <a:latin typeface="Cambria Math" panose="02040503050406030204" pitchFamily="18" charset="0"/>
                      </a:rPr>
                      <m:t>+</m:t>
                    </m:r>
                    <m:f>
                      <m:fPr>
                        <m:ctrlPr>
                          <a:rPr lang="fr-FR" sz="36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m:rPr>
                            <m:sty m:val="p"/>
                          </m:rPr>
                          <a:rPr lang="fr-FR" sz="3600" b="0" i="0">
                            <a:latin typeface="Cambria Math" panose="02040503050406030204" pitchFamily="18" charset="0"/>
                          </a:rPr>
                          <m:t>Δ</m:t>
                        </m:r>
                        <m:r>
                          <a:rPr lang="fr-FR" sz="3600" b="0" i="1">
                            <a:latin typeface="Cambria Math" panose="02040503050406030204" pitchFamily="18" charset="0"/>
                          </a:rPr>
                          <m:t>𝑡</m:t>
                        </m:r>
                      </m:num>
                      <m:den>
                        <m:r>
                          <a:rPr lang="fr-FR" sz="3600" b="0" i="1">
                            <a:latin typeface="Cambria Math" panose="02040503050406030204" pitchFamily="18" charset="0"/>
                          </a:rPr>
                          <m:t>𝜙</m:t>
                        </m:r>
                      </m:den>
                    </m:f>
                    <m:f>
                      <m:fPr>
                        <m:ctrlPr>
                          <a:rPr lang="es-ES" sz="36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ES" sz="36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ES" sz="3600" b="0" i="1">
                                <a:latin typeface="Cambria Math" panose="02040503050406030204" pitchFamily="18" charset="0"/>
                              </a:rPr>
                              <m:t>𝑞</m:t>
                            </m:r>
                          </m:e>
                          <m:sub>
                            <m:r>
                              <a:rPr lang="es-ES" sz="3600" b="0" i="1">
                                <a:latin typeface="Cambria Math" panose="02040503050406030204" pitchFamily="18" charset="0"/>
                              </a:rPr>
                              <m:t>𝑖𝑛𝑓</m:t>
                            </m:r>
                          </m:sub>
                        </m:sSub>
                      </m:num>
                      <m:den>
                        <m:r>
                          <m:rPr>
                            <m:sty m:val="p"/>
                          </m:rPr>
                          <a:rPr lang="es-ES" sz="3600" b="0" i="0">
                            <a:latin typeface="Cambria Math" panose="02040503050406030204" pitchFamily="18" charset="0"/>
                          </a:rPr>
                          <m:t>Δ</m:t>
                        </m:r>
                        <m:r>
                          <a:rPr lang="es-ES" sz="3600" b="0" i="1">
                            <a:latin typeface="Cambria Math" panose="02040503050406030204" pitchFamily="18" charset="0"/>
                          </a:rPr>
                          <m:t>𝑥</m:t>
                        </m:r>
                      </m:den>
                    </m:f>
                    <m:sSub>
                      <m:sSubPr>
                        <m:ctrlPr>
                          <a:rPr lang="es-ES" sz="36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sSub>
                          <m:sSubPr>
                            <m:ctrlPr>
                              <a:rPr lang="es-ES" sz="36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ES" sz="3600" b="0" i="1">
                                <a:latin typeface="Cambria Math" panose="02040503050406030204" pitchFamily="18" charset="0"/>
                              </a:rPr>
                              <m:t>𝑐</m:t>
                            </m:r>
                          </m:e>
                          <m:sub>
                            <m:r>
                              <a:rPr lang="es-ES" sz="3600" b="0" i="1">
                                <a:latin typeface="Cambria Math" panose="02040503050406030204" pitchFamily="18" charset="0"/>
                              </a:rPr>
                              <m:t>𝑖𝑛𝑓</m:t>
                            </m:r>
                          </m:sub>
                        </m:sSub>
                      </m:e>
                      <m:sub>
                        <m:r>
                          <a:rPr lang="es-ES" sz="3600" b="0" i="1">
                            <a:latin typeface="Cambria Math" panose="02040503050406030204" pitchFamily="18" charset="0"/>
                          </a:rPr>
                          <m:t>𝑠</m:t>
                        </m:r>
                      </m:sub>
                    </m:sSub>
                    <m:sSub>
                      <m:sSubPr>
                        <m:ctrlPr>
                          <a:rPr lang="es-ES" sz="36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ES" sz="3600" b="1" i="0">
                            <a:latin typeface="Cambria Math" panose="02040503050406030204" pitchFamily="18" charset="0"/>
                          </a:rPr>
                          <m:t>𝐞</m:t>
                        </m:r>
                      </m:e>
                      <m:sub>
                        <m:r>
                          <a:rPr lang="es-ES" sz="3600" b="0" i="1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</m:oMath>
                </m:oMathPara>
              </a14:m>
              <a:endParaRPr lang="es-ES" sz="3600"/>
            </a:p>
          </xdr:txBody>
        </xdr:sp>
      </mc:Choice>
      <mc:Fallback xmlns="">
        <xdr:sp macro="" textlink="">
          <xdr:nvSpPr>
            <xdr:cNvPr id="2" name="CuadroTexto 3">
              <a:extLst>
                <a:ext uri="{FF2B5EF4-FFF2-40B4-BE49-F238E27FC236}">
                  <a16:creationId xmlns:a16="http://schemas.microsoft.com/office/drawing/2014/main" id="{8717A590-3862-475A-9089-CA066A047198}"/>
                </a:ext>
              </a:extLst>
            </xdr:cNvPr>
            <xdr:cNvSpPr txBox="1"/>
          </xdr:nvSpPr>
          <xdr:spPr>
            <a:xfrm>
              <a:off x="3699931" y="1340303"/>
              <a:ext cx="10263014" cy="1134093"/>
            </a:xfrm>
            <a:prstGeom prst="rect">
              <a:avLst/>
            </a:prstGeom>
            <a:solidFill>
              <a:schemeClr val="bg1"/>
            </a:solidFill>
            <a:ln>
              <a:solidFill>
                <a:sysClr val="windowText" lastClr="000000"/>
              </a:solidFill>
            </a:ln>
          </xdr:spPr>
          <xdr:txBody>
            <a:bodyPr wrap="square" lIns="0" tIns="0" rIns="0" bIns="0" rtlCol="0">
              <a:sp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es-ES" sz="3600" b="0" i="0" kern="12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∀</a:t>
              </a:r>
              <a:r>
                <a:rPr lang="es-ES" sz="3600" b="1" i="0" kern="12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</a:t>
              </a:r>
              <a:r>
                <a:rPr lang="es-ES" sz="3600" b="0" i="0" kern="12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𝑠∈{1,…,𝑛_𝑎𝑞 }</a:t>
              </a:r>
              <a:r>
                <a:rPr lang="es-ES" sz="3600" b="1" i="0" kern="12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,  </a:t>
              </a:r>
              <a:r>
                <a:rPr lang="es-ES" sz="3600" b="1" i="0">
                  <a:latin typeface="Cambria Math" panose="02040503050406030204" pitchFamily="18" charset="0"/>
                </a:rPr>
                <a:t>𝐀𝐜_</a:t>
              </a:r>
              <a:r>
                <a:rPr lang="es-ES" sz="3600" b="0" i="0">
                  <a:latin typeface="Cambria Math" panose="02040503050406030204" pitchFamily="18" charset="0"/>
                </a:rPr>
                <a:t>𝑠^</a:t>
              </a:r>
              <a:r>
                <a:rPr lang="es-ES" sz="3600" b="1" i="0">
                  <a:latin typeface="Cambria Math" panose="02040503050406030204" pitchFamily="18" charset="0"/>
                </a:rPr>
                <a:t>(</a:t>
              </a:r>
              <a:r>
                <a:rPr lang="es-ES" sz="3600" b="0" i="0">
                  <a:latin typeface="Cambria Math" panose="02040503050406030204" pitchFamily="18" charset="0"/>
                </a:rPr>
                <a:t>𝑘+1</a:t>
              </a:r>
              <a:r>
                <a:rPr lang="es-ES" sz="3600" b="1" i="0">
                  <a:latin typeface="Cambria Math" panose="02040503050406030204" pitchFamily="18" charset="0"/>
                </a:rPr>
                <a:t>)</a:t>
              </a:r>
              <a:r>
                <a:rPr lang="es-ES" sz="3600" b="0" i="0">
                  <a:latin typeface="Cambria Math" panose="02040503050406030204" pitchFamily="18" charset="0"/>
                </a:rPr>
                <a:t>=</a:t>
              </a:r>
              <a:r>
                <a:rPr lang="es-ES" sz="3600" b="1" i="0">
                  <a:latin typeface="Cambria Math" panose="02040503050406030204" pitchFamily="18" charset="0"/>
                </a:rPr>
                <a:t>𝐜_</a:t>
              </a:r>
              <a:r>
                <a:rPr lang="es-ES" sz="3600" b="0" i="0">
                  <a:latin typeface="Cambria Math" panose="02040503050406030204" pitchFamily="18" charset="0"/>
                </a:rPr>
                <a:t>𝑠^𝑘+</a:t>
              </a:r>
              <a:r>
                <a:rPr lang="fr-FR" sz="3600" b="0" i="0">
                  <a:latin typeface="Cambria Math" panose="02040503050406030204" pitchFamily="18" charset="0"/>
                </a:rPr>
                <a:t>Δ𝑡/𝜙</a:t>
              </a:r>
              <a:r>
                <a:rPr lang="es-ES" sz="3600" b="0" i="0">
                  <a:latin typeface="Cambria Math" panose="02040503050406030204" pitchFamily="18" charset="0"/>
                </a:rPr>
                <a:t>  𝑞_𝑖𝑛𝑓/Δ𝑥 〖𝑐_𝑖𝑛𝑓〗_𝑠 </a:t>
              </a:r>
              <a:r>
                <a:rPr lang="es-ES" sz="3600" b="1" i="0">
                  <a:latin typeface="Cambria Math" panose="02040503050406030204" pitchFamily="18" charset="0"/>
                </a:rPr>
                <a:t>𝐞</a:t>
              </a:r>
              <a:r>
                <a:rPr lang="es-ES" sz="3600" b="0" i="0">
                  <a:latin typeface="Cambria Math" panose="02040503050406030204" pitchFamily="18" charset="0"/>
                </a:rPr>
                <a:t>_1</a:t>
              </a:r>
              <a:endParaRPr lang="es-ES" sz="3600"/>
            </a:p>
          </xdr:txBody>
        </xdr:sp>
      </mc:Fallback>
    </mc:AlternateContent>
    <xdr:clientData/>
  </xdr:twoCellAnchor>
  <xdr:twoCellAnchor>
    <xdr:from>
      <xdr:col>4</xdr:col>
      <xdr:colOff>380714</xdr:colOff>
      <xdr:row>14</xdr:row>
      <xdr:rowOff>129434</xdr:rowOff>
    </xdr:from>
    <xdr:to>
      <xdr:col>7</xdr:col>
      <xdr:colOff>678744</xdr:colOff>
      <xdr:row>17</xdr:row>
      <xdr:rowOff>142652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CuadroTexto 3">
              <a:extLst>
                <a:ext uri="{FF2B5EF4-FFF2-40B4-BE49-F238E27FC236}">
                  <a16:creationId xmlns:a16="http://schemas.microsoft.com/office/drawing/2014/main" id="{15D9F762-4E82-456E-AFFE-7EDF606C7BFE}"/>
                </a:ext>
              </a:extLst>
            </xdr:cNvPr>
            <xdr:cNvSpPr txBox="1"/>
          </xdr:nvSpPr>
          <xdr:spPr>
            <a:xfrm>
              <a:off x="3830881" y="2697656"/>
              <a:ext cx="3275474" cy="563552"/>
            </a:xfrm>
            <a:prstGeom prst="rect">
              <a:avLst/>
            </a:prstGeom>
            <a:solidFill>
              <a:schemeClr val="bg1"/>
            </a:solidFill>
            <a:ln>
              <a:solidFill>
                <a:sysClr val="windowText" lastClr="000000"/>
              </a:solidFill>
            </a:ln>
          </xdr:spPr>
          <xdr:txBody>
            <a:bodyPr wrap="square" lIns="0" tIns="0" rIns="0" bIns="0" rtlCol="0">
              <a:sp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ES" sz="3600" b="0" i="1" kern="120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s-ES" sz="3600" b="1" i="0" kern="120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𝐜</m:t>
                        </m:r>
                      </m:e>
                      <m:sub>
                        <m:r>
                          <a:rPr lang="es-ES" sz="3600" b="0" i="1" kern="120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𝑠</m:t>
                        </m:r>
                      </m:sub>
                    </m:sSub>
                    <m:r>
                      <a:rPr lang="es-ES" sz="3600" b="0" i="1" kern="120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,</m:t>
                    </m:r>
                    <m:sSub>
                      <m:sSubPr>
                        <m:ctrlPr>
                          <a:rPr lang="es-ES" sz="3600" b="0" i="1" kern="120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s-ES" sz="3600" b="1" i="0" kern="120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𝐞</m:t>
                        </m:r>
                      </m:e>
                      <m:sub>
                        <m:r>
                          <a:rPr lang="es-ES" sz="3600" b="0" i="1" kern="120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1</m:t>
                        </m:r>
                      </m:sub>
                    </m:sSub>
                    <m:r>
                      <a:rPr lang="es-ES" sz="3600" b="0" i="1" kern="120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∈</m:t>
                    </m:r>
                    <m:sSup>
                      <m:sSupPr>
                        <m:ctrlPr>
                          <a:rPr lang="es-ES" sz="3600" b="0" i="1" kern="120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pPr>
                      <m:e>
                        <m:r>
                          <a:rPr lang="es-ES" sz="3600" b="0" i="1" kern="120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ℝ</m:t>
                        </m:r>
                      </m:e>
                      <m:sup>
                        <m:r>
                          <a:rPr lang="es-ES" sz="3600" b="0" i="1" kern="120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𝑛</m:t>
                        </m:r>
                      </m:sup>
                    </m:sSup>
                  </m:oMath>
                </m:oMathPara>
              </a14:m>
              <a:endParaRPr lang="es-ES" sz="3600"/>
            </a:p>
          </xdr:txBody>
        </xdr:sp>
      </mc:Choice>
      <mc:Fallback xmlns="">
        <xdr:sp macro="" textlink="">
          <xdr:nvSpPr>
            <xdr:cNvPr id="6" name="CuadroTexto 3">
              <a:extLst>
                <a:ext uri="{FF2B5EF4-FFF2-40B4-BE49-F238E27FC236}">
                  <a16:creationId xmlns:a16="http://schemas.microsoft.com/office/drawing/2014/main" id="{15D9F762-4E82-456E-AFFE-7EDF606C7BFE}"/>
                </a:ext>
              </a:extLst>
            </xdr:cNvPr>
            <xdr:cNvSpPr txBox="1"/>
          </xdr:nvSpPr>
          <xdr:spPr>
            <a:xfrm>
              <a:off x="3830881" y="2697656"/>
              <a:ext cx="3275474" cy="563552"/>
            </a:xfrm>
            <a:prstGeom prst="rect">
              <a:avLst/>
            </a:prstGeom>
            <a:solidFill>
              <a:schemeClr val="bg1"/>
            </a:solidFill>
            <a:ln>
              <a:solidFill>
                <a:sysClr val="windowText" lastClr="000000"/>
              </a:solidFill>
            </a:ln>
          </xdr:spPr>
          <xdr:txBody>
            <a:bodyPr wrap="square" lIns="0" tIns="0" rIns="0" bIns="0" rtlCol="0">
              <a:sp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es-ES" sz="3600" b="1" i="0" kern="12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𝐜</a:t>
              </a:r>
              <a:r>
                <a:rPr lang="es-ES" sz="3600" b="0" i="0" kern="12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_𝑠,</a:t>
              </a:r>
              <a:r>
                <a:rPr lang="es-ES" sz="3600" b="1" i="0" kern="12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𝐞</a:t>
              </a:r>
              <a:r>
                <a:rPr lang="es-ES" sz="3600" b="0" i="0" kern="12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_1∈</a:t>
              </a:r>
              <a:r>
                <a:rPr lang="es-ES" sz="3600" b="0" i="0" kern="12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ℝ^𝑛</a:t>
              </a:r>
              <a:endParaRPr lang="es-ES" sz="3600"/>
            </a:p>
          </xdr:txBody>
        </xdr:sp>
      </mc:Fallback>
    </mc:AlternateContent>
    <xdr:clientData/>
  </xdr:twoCellAnchor>
  <xdr:twoCellAnchor>
    <xdr:from>
      <xdr:col>0</xdr:col>
      <xdr:colOff>60946</xdr:colOff>
      <xdr:row>22</xdr:row>
      <xdr:rowOff>38088</xdr:rowOff>
    </xdr:from>
    <xdr:to>
      <xdr:col>4</xdr:col>
      <xdr:colOff>99045</xdr:colOff>
      <xdr:row>26</xdr:row>
      <xdr:rowOff>112889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CuadroTexto 5">
              <a:extLst>
                <a:ext uri="{FF2B5EF4-FFF2-40B4-BE49-F238E27FC236}">
                  <a16:creationId xmlns:a16="http://schemas.microsoft.com/office/drawing/2014/main" id="{9EE5C5E0-B3B7-4EA4-BBE9-879C6E792B9C}"/>
                </a:ext>
              </a:extLst>
            </xdr:cNvPr>
            <xdr:cNvSpPr txBox="1"/>
          </xdr:nvSpPr>
          <xdr:spPr>
            <a:xfrm>
              <a:off x="60946" y="4019538"/>
              <a:ext cx="3524249" cy="798701"/>
            </a:xfrm>
            <a:prstGeom prst="rect">
              <a:avLst/>
            </a:prstGeom>
            <a:solidFill>
              <a:sysClr val="window" lastClr="FFFFFF"/>
            </a:solidFill>
            <a:ln>
              <a:solidFill>
                <a:sysClr val="windowText" lastClr="000000"/>
              </a:solidFill>
            </a:ln>
          </xdr:spPr>
          <xdr:txBody>
            <a:bodyPr wrap="square" lIns="0" tIns="0" rIns="0" bIns="0" rtlCol="0" anchor="ctr">
              <a:spAutoFit/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sSub>
                      <m:sSubPr>
                        <m:ctrlPr>
                          <a:rPr lang="es-ES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ES" b="0" i="1">
                            <a:latin typeface="Cambria Math" panose="02040503050406030204" pitchFamily="18" charset="0"/>
                          </a:rPr>
                          <m:t>𝑚</m:t>
                        </m:r>
                      </m:e>
                      <m:sub>
                        <m:r>
                          <a:rPr lang="es-ES" b="0" i="1">
                            <a:latin typeface="Cambria Math" panose="02040503050406030204" pitchFamily="18" charset="0"/>
                          </a:rPr>
                          <m:t>𝑖𝑛𝑓</m:t>
                        </m:r>
                      </m:sub>
                    </m:sSub>
                    <m:r>
                      <a:rPr lang="en-US" i="1"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es-ES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i="1">
                            <a:latin typeface="Cambria Math" panose="02040503050406030204" pitchFamily="18" charset="0"/>
                          </a:rPr>
                          <m:t>𝑞</m:t>
                        </m:r>
                      </m:e>
                      <m:sub>
                        <m:r>
                          <a:rPr lang="en-US" i="1">
                            <a:latin typeface="Cambria Math" panose="02040503050406030204" pitchFamily="18" charset="0"/>
                          </a:rPr>
                          <m:t>𝑖𝑛𝑓</m:t>
                        </m:r>
                      </m:sub>
                    </m:sSub>
                    <m:sSub>
                      <m:sSubPr>
                        <m:ctrlPr>
                          <a:rPr lang="es-ES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ES" b="0" i="1">
                            <a:latin typeface="Cambria Math" panose="02040503050406030204" pitchFamily="18" charset="0"/>
                          </a:rPr>
                          <m:t>𝑐</m:t>
                        </m:r>
                      </m:e>
                      <m:sub>
                        <m:r>
                          <a:rPr lang="es-ES" b="0" i="1">
                            <a:latin typeface="Cambria Math" panose="02040503050406030204" pitchFamily="18" charset="0"/>
                          </a:rPr>
                          <m:t>𝑖𝑛𝑓</m:t>
                        </m:r>
                      </m:sub>
                    </m:sSub>
                    <m:r>
                      <a:rPr lang="en-US" i="1"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es-ES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d>
                          <m:dPr>
                            <m:begChr m:val=""/>
                            <m:endChr m:val="|"/>
                            <m:ctrlPr>
                              <a:rPr lang="es-ES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d>
                              <m:dPr>
                                <m:ctrlPr>
                                  <a:rPr lang="es-ES" i="1"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r>
                                  <a:rPr lang="en-US" i="1">
                                    <a:latin typeface="Cambria Math" panose="02040503050406030204" pitchFamily="18" charset="0"/>
                                  </a:rPr>
                                  <m:t>𝑞𝑐</m:t>
                                </m:r>
                                <m:r>
                                  <a:rPr lang="en-US" i="1">
                                    <a:latin typeface="Cambria Math" panose="02040503050406030204" pitchFamily="18" charset="0"/>
                                  </a:rPr>
                                  <m:t>−</m:t>
                                </m:r>
                                <m:r>
                                  <a:rPr lang="en-US" i="1">
                                    <a:latin typeface="Cambria Math" panose="02040503050406030204" pitchFamily="18" charset="0"/>
                                  </a:rPr>
                                  <m:t>𝐷</m:t>
                                </m:r>
                                <m:f>
                                  <m:fPr>
                                    <m:ctrlPr>
                                      <a:rPr lang="es-ES" i="1">
                                        <a:latin typeface="Cambria Math" panose="02040503050406030204" pitchFamily="18" charset="0"/>
                                      </a:rPr>
                                    </m:ctrlPr>
                                  </m:fPr>
                                  <m:num>
                                    <m:r>
                                      <a:rPr lang="en-US" i="1">
                                        <a:latin typeface="Cambria Math" panose="02040503050406030204" pitchFamily="18" charset="0"/>
                                      </a:rPr>
                                      <m:t>𝜕</m:t>
                                    </m:r>
                                    <m:r>
                                      <a:rPr lang="en-US" i="1">
                                        <a:latin typeface="Cambria Math" panose="02040503050406030204" pitchFamily="18" charset="0"/>
                                      </a:rPr>
                                      <m:t>𝑐</m:t>
                                    </m:r>
                                  </m:num>
                                  <m:den>
                                    <m:r>
                                      <a:rPr lang="en-US" i="1">
                                        <a:latin typeface="Cambria Math" panose="02040503050406030204" pitchFamily="18" charset="0"/>
                                      </a:rPr>
                                      <m:t>𝜕</m:t>
                                    </m:r>
                                    <m:r>
                                      <a:rPr lang="en-US" i="1">
                                        <a:latin typeface="Cambria Math" panose="02040503050406030204" pitchFamily="18" charset="0"/>
                                      </a:rPr>
                                      <m:t>𝑥</m:t>
                                    </m:r>
                                  </m:den>
                                </m:f>
                              </m:e>
                            </m:d>
                          </m:e>
                        </m:d>
                      </m:e>
                      <m:sub>
                        <m:r>
                          <a:rPr lang="es-ES" b="0" i="1">
                            <a:latin typeface="Cambria Math" panose="02040503050406030204" pitchFamily="18" charset="0"/>
                          </a:rPr>
                          <m:t>𝑖𝑛𝑓</m:t>
                        </m:r>
                      </m:sub>
                    </m:sSub>
                  </m:oMath>
                </m:oMathPara>
              </a14:m>
              <a:endParaRPr lang="es-ES"/>
            </a:p>
          </xdr:txBody>
        </xdr:sp>
      </mc:Choice>
      <mc:Fallback xmlns="">
        <xdr:sp macro="" textlink="">
          <xdr:nvSpPr>
            <xdr:cNvPr id="8" name="CuadroTexto 5">
              <a:extLst>
                <a:ext uri="{FF2B5EF4-FFF2-40B4-BE49-F238E27FC236}">
                  <a16:creationId xmlns:a16="http://schemas.microsoft.com/office/drawing/2014/main" id="{9EE5C5E0-B3B7-4EA4-BBE9-879C6E792B9C}"/>
                </a:ext>
              </a:extLst>
            </xdr:cNvPr>
            <xdr:cNvSpPr txBox="1"/>
          </xdr:nvSpPr>
          <xdr:spPr>
            <a:xfrm>
              <a:off x="60946" y="4019538"/>
              <a:ext cx="3524249" cy="798701"/>
            </a:xfrm>
            <a:prstGeom prst="rect">
              <a:avLst/>
            </a:prstGeom>
            <a:solidFill>
              <a:sysClr val="window" lastClr="FFFFFF"/>
            </a:solidFill>
            <a:ln>
              <a:solidFill>
                <a:sysClr val="windowText" lastClr="000000"/>
              </a:solidFill>
            </a:ln>
          </xdr:spPr>
          <xdr:txBody>
            <a:bodyPr wrap="square" lIns="0" tIns="0" rIns="0" bIns="0" rtlCol="0" anchor="ctr">
              <a:spAutoFit/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es-ES" b="0" i="0">
                  <a:latin typeface="Cambria Math" panose="02040503050406030204" pitchFamily="18" charset="0"/>
                </a:rPr>
                <a:t>𝑚_𝑖𝑛𝑓</a:t>
              </a:r>
              <a:r>
                <a:rPr lang="en-US" i="0">
                  <a:latin typeface="Cambria Math" panose="02040503050406030204" pitchFamily="18" charset="0"/>
                </a:rPr>
                <a:t>=𝑞</a:t>
              </a:r>
              <a:r>
                <a:rPr lang="es-ES" i="0">
                  <a:latin typeface="Cambria Math" panose="02040503050406030204" pitchFamily="18" charset="0"/>
                </a:rPr>
                <a:t>_</a:t>
              </a:r>
              <a:r>
                <a:rPr lang="en-US" i="0">
                  <a:latin typeface="Cambria Math" panose="02040503050406030204" pitchFamily="18" charset="0"/>
                </a:rPr>
                <a:t>𝑖𝑛𝑓</a:t>
              </a:r>
              <a:r>
                <a:rPr lang="es-ES" b="0" i="0">
                  <a:latin typeface="Cambria Math" panose="02040503050406030204" pitchFamily="18" charset="0"/>
                </a:rPr>
                <a:t> 𝑐_𝑖𝑛𝑓</a:t>
              </a:r>
              <a:r>
                <a:rPr lang="en-US" i="0">
                  <a:latin typeface="Cambria Math" panose="02040503050406030204" pitchFamily="18" charset="0"/>
                </a:rPr>
                <a:t>=</a:t>
              </a:r>
              <a:r>
                <a:rPr lang="es-ES" i="0">
                  <a:latin typeface="Cambria Math" panose="02040503050406030204" pitchFamily="18" charset="0"/>
                </a:rPr>
                <a:t>├ (</a:t>
              </a:r>
              <a:r>
                <a:rPr lang="en-US" i="0">
                  <a:latin typeface="Cambria Math" panose="02040503050406030204" pitchFamily="18" charset="0"/>
                </a:rPr>
                <a:t>𝑞𝑐−𝐷 𝜕𝑐</a:t>
              </a:r>
              <a:r>
                <a:rPr lang="es-ES" i="0">
                  <a:latin typeface="Cambria Math" panose="02040503050406030204" pitchFamily="18" charset="0"/>
                </a:rPr>
                <a:t>/</a:t>
              </a:r>
              <a:r>
                <a:rPr lang="en-US" i="0">
                  <a:latin typeface="Cambria Math" panose="02040503050406030204" pitchFamily="18" charset="0"/>
                </a:rPr>
                <a:t>𝜕𝑥)┤|</a:t>
              </a:r>
              <a:r>
                <a:rPr lang="es-ES" i="0">
                  <a:latin typeface="Cambria Math" panose="02040503050406030204" pitchFamily="18" charset="0"/>
                </a:rPr>
                <a:t>_</a:t>
              </a:r>
              <a:r>
                <a:rPr lang="es-ES" b="0" i="0">
                  <a:latin typeface="Cambria Math" panose="02040503050406030204" pitchFamily="18" charset="0"/>
                </a:rPr>
                <a:t>𝑖𝑛𝑓</a:t>
              </a:r>
              <a:endParaRPr lang="es-ES"/>
            </a:p>
          </xdr:txBody>
        </xdr:sp>
      </mc:Fallback>
    </mc:AlternateContent>
    <xdr:clientData/>
  </xdr:twoCellAnchor>
  <xdr:twoCellAnchor>
    <xdr:from>
      <xdr:col>0</xdr:col>
      <xdr:colOff>226686</xdr:colOff>
      <xdr:row>28</xdr:row>
      <xdr:rowOff>59053</xdr:rowOff>
    </xdr:from>
    <xdr:to>
      <xdr:col>3</xdr:col>
      <xdr:colOff>220027</xdr:colOff>
      <xdr:row>32</xdr:row>
      <xdr:rowOff>84666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CuadroTexto 5">
              <a:extLst>
                <a:ext uri="{FF2B5EF4-FFF2-40B4-BE49-F238E27FC236}">
                  <a16:creationId xmlns:a16="http://schemas.microsoft.com/office/drawing/2014/main" id="{E7720B3D-C57C-4A28-A21A-D8D7B48103E3}"/>
                </a:ext>
              </a:extLst>
            </xdr:cNvPr>
            <xdr:cNvSpPr txBox="1"/>
          </xdr:nvSpPr>
          <xdr:spPr>
            <a:xfrm>
              <a:off x="226686" y="5195497"/>
              <a:ext cx="2681508" cy="759391"/>
            </a:xfrm>
            <a:prstGeom prst="rect">
              <a:avLst/>
            </a:prstGeom>
            <a:solidFill>
              <a:sysClr val="window" lastClr="FFFFFF"/>
            </a:solidFill>
            <a:ln>
              <a:solidFill>
                <a:sysClr val="windowText" lastClr="000000"/>
              </a:solidFill>
            </a:ln>
          </xdr:spPr>
          <xdr:txBody>
            <a:bodyPr wrap="square" lIns="0" tIns="0" rIns="0" bIns="0" rtlCol="0" anchor="ctr">
              <a:noAutofit/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sSub>
                      <m:sSubPr>
                        <m:ctrlPr>
                          <a:rPr lang="es-ES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i="1">
                            <a:latin typeface="Cambria Math" panose="02040503050406030204" pitchFamily="18" charset="0"/>
                          </a:rPr>
                          <m:t>𝑞</m:t>
                        </m:r>
                      </m:e>
                      <m:sub>
                        <m:r>
                          <a:rPr lang="es-ES" b="0" i="1">
                            <a:latin typeface="Cambria Math" panose="02040503050406030204" pitchFamily="18" charset="0"/>
                          </a:rPr>
                          <m:t>𝐷</m:t>
                        </m:r>
                        <m:r>
                          <a:rPr lang="es-ES" b="0" i="1"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es-ES" b="0" i="1">
                            <a:latin typeface="Cambria Math" panose="02040503050406030204" pitchFamily="18" charset="0"/>
                          </a:rPr>
                          <m:t>𝑜𝑢𝑡</m:t>
                        </m:r>
                      </m:sub>
                    </m:sSub>
                    <m:r>
                      <a:rPr lang="en-US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s-ES" b="0" i="1">
                        <a:latin typeface="Cambria Math" panose="02040503050406030204" pitchFamily="18" charset="0"/>
                      </a:rPr>
                      <m:t>−</m:t>
                    </m:r>
                    <m:sSub>
                      <m:sSubPr>
                        <m:ctrlPr>
                          <a:rPr lang="es-ES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d>
                          <m:dPr>
                            <m:begChr m:val=""/>
                            <m:endChr m:val="|"/>
                            <m:ctrlPr>
                              <a:rPr lang="es-ES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n-US" sz="1800" i="1" kern="120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𝐷</m:t>
                            </m:r>
                            <m:f>
                              <m:fPr>
                                <m:ctrlPr>
                                  <a:rPr lang="es-ES" sz="180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fPr>
                              <m:num>
                                <m:r>
                                  <a:rPr lang="en-US" sz="180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𝜕</m:t>
                                </m:r>
                                <m:r>
                                  <a:rPr lang="en-US" sz="180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𝑐</m:t>
                                </m:r>
                              </m:num>
                              <m:den>
                                <m:r>
                                  <a:rPr lang="en-US" sz="180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𝜕</m:t>
                                </m:r>
                                <m:r>
                                  <a:rPr lang="en-US" sz="180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𝑥</m:t>
                                </m:r>
                              </m:den>
                            </m:f>
                          </m:e>
                        </m:d>
                      </m:e>
                      <m:sub>
                        <m:r>
                          <a:rPr lang="es-ES" b="0" i="1">
                            <a:latin typeface="Cambria Math" panose="02040503050406030204" pitchFamily="18" charset="0"/>
                          </a:rPr>
                          <m:t>𝑜𝑢𝑡</m:t>
                        </m:r>
                      </m:sub>
                    </m:sSub>
                    <m:r>
                      <a:rPr lang="es-ES" b="0" i="1">
                        <a:latin typeface="Cambria Math" panose="02040503050406030204" pitchFamily="18" charset="0"/>
                      </a:rPr>
                      <m:t>=0</m:t>
                    </m:r>
                  </m:oMath>
                </m:oMathPara>
              </a14:m>
              <a:endParaRPr lang="es-ES"/>
            </a:p>
          </xdr:txBody>
        </xdr:sp>
      </mc:Choice>
      <mc:Fallback xmlns="">
        <xdr:sp macro="" textlink="">
          <xdr:nvSpPr>
            <xdr:cNvPr id="9" name="CuadroTexto 5">
              <a:extLst>
                <a:ext uri="{FF2B5EF4-FFF2-40B4-BE49-F238E27FC236}">
                  <a16:creationId xmlns:a16="http://schemas.microsoft.com/office/drawing/2014/main" id="{E7720B3D-C57C-4A28-A21A-D8D7B48103E3}"/>
                </a:ext>
              </a:extLst>
            </xdr:cNvPr>
            <xdr:cNvSpPr txBox="1"/>
          </xdr:nvSpPr>
          <xdr:spPr>
            <a:xfrm>
              <a:off x="226686" y="5195497"/>
              <a:ext cx="2681508" cy="759391"/>
            </a:xfrm>
            <a:prstGeom prst="rect">
              <a:avLst/>
            </a:prstGeom>
            <a:solidFill>
              <a:sysClr val="window" lastClr="FFFFFF"/>
            </a:solidFill>
            <a:ln>
              <a:solidFill>
                <a:sysClr val="windowText" lastClr="000000"/>
              </a:solidFill>
            </a:ln>
          </xdr:spPr>
          <xdr:txBody>
            <a:bodyPr wrap="square" lIns="0" tIns="0" rIns="0" bIns="0" rtlCol="0" anchor="ctr">
              <a:noAutofit/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en-US" i="0">
                  <a:latin typeface="Cambria Math" panose="02040503050406030204" pitchFamily="18" charset="0"/>
                </a:rPr>
                <a:t>𝑞</a:t>
              </a:r>
              <a:r>
                <a:rPr lang="es-ES" i="0">
                  <a:latin typeface="Cambria Math" panose="02040503050406030204" pitchFamily="18" charset="0"/>
                </a:rPr>
                <a:t>_(</a:t>
              </a:r>
              <a:r>
                <a:rPr lang="es-ES" b="0" i="0">
                  <a:latin typeface="Cambria Math" panose="02040503050406030204" pitchFamily="18" charset="0"/>
                </a:rPr>
                <a:t>𝐷,𝑜𝑢𝑡)</a:t>
              </a:r>
              <a:r>
                <a:rPr lang="en-US" i="0">
                  <a:latin typeface="Cambria Math" panose="02040503050406030204" pitchFamily="18" charset="0"/>
                </a:rPr>
                <a:t>=</a:t>
              </a:r>
              <a:r>
                <a:rPr lang="es-ES" b="0" i="0">
                  <a:latin typeface="Cambria Math" panose="02040503050406030204" pitchFamily="18" charset="0"/>
                </a:rPr>
                <a:t>−</a:t>
              </a:r>
              <a:r>
                <a:rPr lang="es-ES" i="0">
                  <a:latin typeface="Cambria Math" panose="02040503050406030204" pitchFamily="18" charset="0"/>
                </a:rPr>
                <a:t>├ </a:t>
              </a:r>
              <a:r>
                <a:rPr lang="en-US" sz="1800" i="0" kern="12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𝐷 𝜕𝑐</a:t>
              </a:r>
              <a:r>
                <a:rPr lang="es-ES" sz="1800" i="0" kern="12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/</a:t>
              </a:r>
              <a:r>
                <a:rPr lang="en-US" sz="1800" i="0" kern="12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𝜕𝑥┤|</a:t>
              </a:r>
              <a:r>
                <a:rPr lang="es-ES" sz="1800" i="0" kern="12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</a:t>
              </a:r>
              <a:r>
                <a:rPr lang="es-ES" b="0" i="0">
                  <a:latin typeface="Cambria Math" panose="02040503050406030204" pitchFamily="18" charset="0"/>
                </a:rPr>
                <a:t>𝑜𝑢𝑡=0</a:t>
              </a:r>
              <a:endParaRPr lang="es-ES"/>
            </a:p>
          </xdr:txBody>
        </xdr:sp>
      </mc:Fallback>
    </mc:AlternateContent>
    <xdr:clientData/>
  </xdr:twoCellAnchor>
  <xdr:twoCellAnchor>
    <xdr:from>
      <xdr:col>8</xdr:col>
      <xdr:colOff>141112</xdr:colOff>
      <xdr:row>14</xdr:row>
      <xdr:rowOff>21169</xdr:rowOff>
    </xdr:from>
    <xdr:to>
      <xdr:col>12</xdr:col>
      <xdr:colOff>368586</xdr:colOff>
      <xdr:row>20</xdr:row>
      <xdr:rowOff>54595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CuadroTexto 3">
              <a:extLst>
                <a:ext uri="{FF2B5EF4-FFF2-40B4-BE49-F238E27FC236}">
                  <a16:creationId xmlns:a16="http://schemas.microsoft.com/office/drawing/2014/main" id="{66BF5D07-5E15-4836-85E8-40D0080A8B91}"/>
                </a:ext>
              </a:extLst>
            </xdr:cNvPr>
            <xdr:cNvSpPr txBox="1"/>
          </xdr:nvSpPr>
          <xdr:spPr>
            <a:xfrm>
              <a:off x="7478890" y="2589391"/>
              <a:ext cx="3275474" cy="1134093"/>
            </a:xfrm>
            <a:prstGeom prst="rect">
              <a:avLst/>
            </a:prstGeom>
            <a:solidFill>
              <a:schemeClr val="bg1"/>
            </a:solidFill>
            <a:ln>
              <a:solidFill>
                <a:sysClr val="windowText" lastClr="000000"/>
              </a:solidFill>
            </a:ln>
          </xdr:spPr>
          <xdr:txBody>
            <a:bodyPr wrap="square" lIns="0" tIns="0" rIns="0" bIns="0" rtlCol="0">
              <a:sp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3600" b="1" i="0" kern="120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𝐀</m:t>
                    </m:r>
                    <m:r>
                      <a:rPr lang="es-ES" sz="3600" b="0" i="1" kern="120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r>
                      <a:rPr lang="es-ES" sz="3600" b="1" i="0" kern="120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𝐈</m:t>
                    </m:r>
                    <m:r>
                      <a:rPr lang="es-ES" sz="3600" b="0" i="1" kern="120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−</m:t>
                    </m:r>
                    <m:f>
                      <m:fPr>
                        <m:ctrlPr>
                          <a:rPr lang="es-ES" sz="3600" b="0" i="1" kern="120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m:rPr>
                            <m:sty m:val="p"/>
                          </m:rPr>
                          <a:rPr lang="es-ES" sz="3600" b="0" i="0" kern="120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Δ</m:t>
                        </m:r>
                        <m:r>
                          <a:rPr lang="es-ES" sz="3600" b="0" i="1" kern="120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𝑡</m:t>
                        </m:r>
                      </m:num>
                      <m:den>
                        <m:r>
                          <a:rPr lang="es-ES" sz="3600" b="0" i="1" kern="120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𝜙</m:t>
                        </m:r>
                      </m:den>
                    </m:f>
                    <m:r>
                      <a:rPr lang="es-ES" sz="3600" b="1" i="0" kern="120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𝐓</m:t>
                    </m:r>
                  </m:oMath>
                </m:oMathPara>
              </a14:m>
              <a:endParaRPr lang="es-ES" sz="3600" b="1" i="0"/>
            </a:p>
          </xdr:txBody>
        </xdr:sp>
      </mc:Choice>
      <mc:Fallback xmlns="">
        <xdr:sp macro="" textlink="">
          <xdr:nvSpPr>
            <xdr:cNvPr id="3" name="CuadroTexto 3">
              <a:extLst>
                <a:ext uri="{FF2B5EF4-FFF2-40B4-BE49-F238E27FC236}">
                  <a16:creationId xmlns:a16="http://schemas.microsoft.com/office/drawing/2014/main" id="{66BF5D07-5E15-4836-85E8-40D0080A8B91}"/>
                </a:ext>
              </a:extLst>
            </xdr:cNvPr>
            <xdr:cNvSpPr txBox="1"/>
          </xdr:nvSpPr>
          <xdr:spPr>
            <a:xfrm>
              <a:off x="7478890" y="2589391"/>
              <a:ext cx="3275474" cy="1134093"/>
            </a:xfrm>
            <a:prstGeom prst="rect">
              <a:avLst/>
            </a:prstGeom>
            <a:solidFill>
              <a:schemeClr val="bg1"/>
            </a:solidFill>
            <a:ln>
              <a:solidFill>
                <a:sysClr val="windowText" lastClr="000000"/>
              </a:solidFill>
            </a:ln>
          </xdr:spPr>
          <xdr:txBody>
            <a:bodyPr wrap="square" lIns="0" tIns="0" rIns="0" bIns="0" rtlCol="0">
              <a:sp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es-ES" sz="3600" b="1" i="0" kern="12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𝐀</a:t>
              </a:r>
              <a:r>
                <a:rPr lang="es-ES" sz="3600" b="0" i="0" kern="12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=</a:t>
              </a:r>
              <a:r>
                <a:rPr lang="es-ES" sz="3600" b="1" i="0" kern="12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𝐈</a:t>
              </a:r>
              <a:r>
                <a:rPr lang="es-ES" sz="3600" b="0" i="0" kern="12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−Δ𝑡/𝜙</a:t>
              </a:r>
              <a:r>
                <a:rPr lang="es-ES" sz="3600" b="1" i="0" kern="12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𝐓</a:t>
              </a:r>
              <a:endParaRPr lang="es-ES" sz="3600" b="1" i="0"/>
            </a:p>
          </xdr:txBody>
        </xdr:sp>
      </mc:Fallback>
    </mc:AlternateContent>
    <xdr:clientData/>
  </xdr:twoCellAnchor>
  <xdr:twoCellAnchor>
    <xdr:from>
      <xdr:col>4</xdr:col>
      <xdr:colOff>282224</xdr:colOff>
      <xdr:row>30</xdr:row>
      <xdr:rowOff>155222</xdr:rowOff>
    </xdr:from>
    <xdr:to>
      <xdr:col>7</xdr:col>
      <xdr:colOff>793046</xdr:colOff>
      <xdr:row>40</xdr:row>
      <xdr:rowOff>35277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CuadroTexto 5">
              <a:extLst>
                <a:ext uri="{FF2B5EF4-FFF2-40B4-BE49-F238E27FC236}">
                  <a16:creationId xmlns:a16="http://schemas.microsoft.com/office/drawing/2014/main" id="{571D89A2-70D5-472F-ABAF-C624E6ED8CB9}"/>
                </a:ext>
              </a:extLst>
            </xdr:cNvPr>
            <xdr:cNvSpPr txBox="1"/>
          </xdr:nvSpPr>
          <xdr:spPr>
            <a:xfrm>
              <a:off x="3732391" y="5658555"/>
              <a:ext cx="3488266" cy="1714500"/>
            </a:xfrm>
            <a:prstGeom prst="rect">
              <a:avLst/>
            </a:prstGeom>
            <a:solidFill>
              <a:sysClr val="window" lastClr="FFFFFF"/>
            </a:solidFill>
            <a:ln>
              <a:solidFill>
                <a:sysClr val="windowText" lastClr="000000"/>
              </a:solidFill>
            </a:ln>
          </xdr:spPr>
          <xdr:txBody>
            <a:bodyPr wrap="square" lIns="0" tIns="0" rIns="0" bIns="0" rtlCol="0" anchor="ctr">
              <a:noAutofit/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d>
                      <m:dPr>
                        <m:begChr m:val="{"/>
                        <m:endChr m:val=""/>
                        <m:ctrlPr>
                          <a:rPr lang="es-ES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eqArr>
                          <m:eqArrPr>
                            <m:ctrlPr>
                              <a:rPr lang="es-ES" i="1">
                                <a:latin typeface="Cambria Math" panose="02040503050406030204" pitchFamily="18" charset="0"/>
                              </a:rPr>
                            </m:ctrlPr>
                          </m:eqArrPr>
                          <m:e>
                            <m:sSub>
                              <m:sSubPr>
                                <m:ctrlPr>
                                  <a:rPr lang="es-ES" sz="180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180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𝑇</m:t>
                                </m:r>
                              </m:e>
                              <m:sub>
                                <m:r>
                                  <a:rPr lang="es-ES" sz="1800" b="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𝑛</m:t>
                                </m:r>
                                <m:r>
                                  <a:rPr lang="es-ES" sz="180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,</m:t>
                                </m:r>
                                <m:r>
                                  <a:rPr lang="es-ES" sz="1800" b="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𝑛</m:t>
                                </m:r>
                                <m:r>
                                  <a:rPr lang="es-ES" sz="1800" b="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−1</m:t>
                                </m:r>
                              </m:sub>
                            </m:sSub>
                            <m:r>
                              <a:rPr lang="es-ES" sz="1800" i="1" kern="120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=</m:t>
                            </m:r>
                            <m:f>
                              <m:fPr>
                                <m:ctrlPr>
                                  <a:rPr lang="es-ES" sz="180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fPr>
                              <m:num>
                                <m:r>
                                  <a:rPr lang="es-ES" sz="1800" b="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𝑞</m:t>
                                </m:r>
                              </m:num>
                              <m:den>
                                <m:r>
                                  <a:rPr lang="es-ES" sz="1800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2</m:t>
                                </m:r>
                                <m:r>
                                  <m:rPr>
                                    <m:sty m:val="p"/>
                                  </m:rPr>
                                  <a:rPr lang="es-ES" sz="1800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Δ</m:t>
                                </m:r>
                                <m:r>
                                  <a:rPr lang="es-ES" sz="180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𝑥</m:t>
                                </m:r>
                              </m:den>
                            </m:f>
                            <m:r>
                              <a:rPr lang="es-ES" sz="1800" b="0" i="1" kern="120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f>
                              <m:fPr>
                                <m:ctrlPr>
                                  <a:rPr lang="es-ES" sz="180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fPr>
                              <m:num>
                                <m:r>
                                  <a:rPr lang="es-ES" sz="1800" b="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𝐷</m:t>
                                </m:r>
                              </m:num>
                              <m:den>
                                <m:r>
                                  <m:rPr>
                                    <m:sty m:val="p"/>
                                  </m:rPr>
                                  <a:rPr lang="es-ES" sz="1800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Δ</m:t>
                                </m:r>
                                <m:sSup>
                                  <m:sSupPr>
                                    <m:ctrlPr>
                                      <a:rPr lang="es-ES" sz="1800" i="1" kern="1200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sSupPr>
                                  <m:e>
                                    <m:r>
                                      <a:rPr lang="es-ES" sz="1800" i="1" kern="1200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𝑥</m:t>
                                    </m:r>
                                  </m:e>
                                  <m:sup>
                                    <m:r>
                                      <a:rPr lang="es-ES" sz="1800" i="1" kern="1200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2</m:t>
                                    </m:r>
                                  </m:sup>
                                </m:sSup>
                              </m:den>
                            </m:f>
                          </m:e>
                          <m:e>
                            <m:sSub>
                              <m:sSubPr>
                                <m:ctrlPr>
                                  <a:rPr lang="es-ES" sz="180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180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𝑇</m:t>
                                </m:r>
                              </m:e>
                              <m:sub>
                                <m:r>
                                  <a:rPr lang="es-ES" sz="1800" b="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𝑛</m:t>
                                </m:r>
                                <m:r>
                                  <a:rPr lang="es-ES" sz="180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,</m:t>
                                </m:r>
                                <m:r>
                                  <a:rPr lang="es-ES" sz="1800" b="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𝑛</m:t>
                                </m:r>
                              </m:sub>
                            </m:sSub>
                            <m:r>
                              <a:rPr lang="es-ES" sz="1800" i="1" kern="120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=</m:t>
                            </m:r>
                            <m:r>
                              <a:rPr lang="es-ES" sz="1800" b="0" i="1" kern="120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−</m:t>
                            </m:r>
                            <m:sSub>
                              <m:sSubPr>
                                <m:ctrlPr>
                                  <a:rPr lang="es-ES" sz="1800" b="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180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𝑇</m:t>
                                </m:r>
                              </m:e>
                              <m:sub>
                                <m:r>
                                  <a:rPr lang="es-ES" sz="1800" b="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𝑛</m:t>
                                </m:r>
                                <m:r>
                                  <a:rPr lang="es-ES" sz="1800" b="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,</m:t>
                                </m:r>
                                <m:r>
                                  <a:rPr lang="es-ES" sz="1800" b="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𝑛</m:t>
                                </m:r>
                                <m:r>
                                  <a:rPr lang="es-ES" sz="1800" b="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−1</m:t>
                                </m:r>
                              </m:sub>
                            </m:sSub>
                          </m:e>
                        </m:eqArr>
                      </m:e>
                    </m:d>
                  </m:oMath>
                </m:oMathPara>
              </a14:m>
              <a:endParaRPr lang="es-ES"/>
            </a:p>
          </xdr:txBody>
        </xdr:sp>
      </mc:Choice>
      <mc:Fallback xmlns="">
        <xdr:sp macro="" textlink="">
          <xdr:nvSpPr>
            <xdr:cNvPr id="5" name="CuadroTexto 5">
              <a:extLst>
                <a:ext uri="{FF2B5EF4-FFF2-40B4-BE49-F238E27FC236}">
                  <a16:creationId xmlns:a16="http://schemas.microsoft.com/office/drawing/2014/main" id="{571D89A2-70D5-472F-ABAF-C624E6ED8CB9}"/>
                </a:ext>
              </a:extLst>
            </xdr:cNvPr>
            <xdr:cNvSpPr txBox="1"/>
          </xdr:nvSpPr>
          <xdr:spPr>
            <a:xfrm>
              <a:off x="3732391" y="5658555"/>
              <a:ext cx="3488266" cy="1714500"/>
            </a:xfrm>
            <a:prstGeom prst="rect">
              <a:avLst/>
            </a:prstGeom>
            <a:solidFill>
              <a:sysClr val="window" lastClr="FFFFFF"/>
            </a:solidFill>
            <a:ln>
              <a:solidFill>
                <a:sysClr val="windowText" lastClr="000000"/>
              </a:solidFill>
            </a:ln>
          </xdr:spPr>
          <xdr:txBody>
            <a:bodyPr wrap="square" lIns="0" tIns="0" rIns="0" bIns="0" rtlCol="0" anchor="ctr">
              <a:noAutofit/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es-ES" i="0">
                  <a:latin typeface="Cambria Math" panose="02040503050406030204" pitchFamily="18" charset="0"/>
                </a:rPr>
                <a:t>{█(</a:t>
              </a:r>
              <a:r>
                <a:rPr lang="es-ES" sz="1800" i="0" kern="12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𝑇_(</a:t>
              </a:r>
              <a:r>
                <a:rPr lang="es-ES" sz="1800" b="0" i="0" kern="12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𝑛</a:t>
              </a:r>
              <a:r>
                <a:rPr lang="es-ES" sz="1800" i="0" kern="12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,</a:t>
              </a:r>
              <a:r>
                <a:rPr lang="es-ES" sz="1800" b="0" i="0" kern="12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𝑛−1</a:t>
              </a:r>
              <a:r>
                <a:rPr lang="es-ES" sz="1800" b="0" i="0" kern="12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)</a:t>
              </a:r>
              <a:r>
                <a:rPr lang="es-ES" sz="1800" i="0" kern="12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=</a:t>
              </a:r>
              <a:r>
                <a:rPr lang="es-ES" sz="1800" b="0" i="0" kern="12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𝑞/</a:t>
              </a:r>
              <a:r>
                <a:rPr lang="es-ES" sz="1800" i="0" kern="12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2Δ𝑥</a:t>
              </a:r>
              <a:r>
                <a:rPr lang="es-ES" sz="1800" b="0" i="0" kern="12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+</a:t>
              </a:r>
              <a:r>
                <a:rPr lang="es-ES" sz="1800" b="0" i="0" kern="12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𝐷/(</a:t>
              </a:r>
              <a:r>
                <a:rPr lang="es-ES" sz="1800" i="0" kern="12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Δ𝑥^2 )</a:t>
              </a:r>
              <a:r>
                <a:rPr lang="es-ES" sz="1800" i="0" kern="12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@</a:t>
              </a:r>
              <a:r>
                <a:rPr lang="es-ES" sz="1800" i="0" kern="12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𝑇_(</a:t>
              </a:r>
              <a:r>
                <a:rPr lang="es-ES" sz="1800" b="0" i="0" kern="12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𝑛</a:t>
              </a:r>
              <a:r>
                <a:rPr lang="es-ES" sz="1800" i="0" kern="12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,</a:t>
              </a:r>
              <a:r>
                <a:rPr lang="es-ES" sz="1800" b="0" i="0" kern="12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𝑛)</a:t>
              </a:r>
              <a:r>
                <a:rPr lang="es-ES" sz="1800" i="0" kern="12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=</a:t>
              </a:r>
              <a:r>
                <a:rPr lang="es-ES" sz="1800" b="0" i="0" kern="12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−</a:t>
              </a:r>
              <a:r>
                <a:rPr lang="es-ES" sz="1800" i="0" kern="12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𝑇</a:t>
              </a:r>
              <a:r>
                <a:rPr lang="es-ES" sz="1800" b="0" i="0" kern="12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_(𝑛,𝑛−1) )┤</a:t>
              </a:r>
              <a:endParaRPr lang="es-ES"/>
            </a:p>
          </xdr:txBody>
        </xdr:sp>
      </mc:Fallback>
    </mc:AlternateContent>
    <xdr:clientData/>
  </xdr:twoCellAnchor>
  <xdr:twoCellAnchor>
    <xdr:from>
      <xdr:col>4</xdr:col>
      <xdr:colOff>310444</xdr:colOff>
      <xdr:row>20</xdr:row>
      <xdr:rowOff>63500</xdr:rowOff>
    </xdr:from>
    <xdr:to>
      <xdr:col>7</xdr:col>
      <xdr:colOff>821266</xdr:colOff>
      <xdr:row>29</xdr:row>
      <xdr:rowOff>127000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CuadroTexto 5">
              <a:extLst>
                <a:ext uri="{FF2B5EF4-FFF2-40B4-BE49-F238E27FC236}">
                  <a16:creationId xmlns:a16="http://schemas.microsoft.com/office/drawing/2014/main" id="{3319ED08-3711-4CFD-90C2-DB8654325292}"/>
                </a:ext>
              </a:extLst>
            </xdr:cNvPr>
            <xdr:cNvSpPr txBox="1"/>
          </xdr:nvSpPr>
          <xdr:spPr>
            <a:xfrm>
              <a:off x="3760611" y="3732389"/>
              <a:ext cx="3488266" cy="1714500"/>
            </a:xfrm>
            <a:prstGeom prst="rect">
              <a:avLst/>
            </a:prstGeom>
            <a:solidFill>
              <a:sysClr val="window" lastClr="FFFFFF"/>
            </a:solidFill>
            <a:ln>
              <a:solidFill>
                <a:sysClr val="windowText" lastClr="000000"/>
              </a:solidFill>
            </a:ln>
          </xdr:spPr>
          <xdr:txBody>
            <a:bodyPr wrap="square" lIns="0" tIns="0" rIns="0" bIns="0" rtlCol="0" anchor="ctr">
              <a:noAutofit/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d>
                      <m:dPr>
                        <m:begChr m:val="{"/>
                        <m:endChr m:val=""/>
                        <m:ctrlPr>
                          <a:rPr lang="es-ES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eqArr>
                          <m:eqArrPr>
                            <m:ctrlPr>
                              <a:rPr lang="es-ES" i="1">
                                <a:latin typeface="Cambria Math" panose="02040503050406030204" pitchFamily="18" charset="0"/>
                              </a:rPr>
                            </m:ctrlPr>
                          </m:eqArrPr>
                          <m:e>
                            <m:sSub>
                              <m:sSubPr>
                                <m:ctrlPr>
                                  <a:rPr lang="es-ES" sz="180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180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𝑇</m:t>
                                </m:r>
                              </m:e>
                              <m:sub>
                                <m:r>
                                  <a:rPr lang="es-ES" sz="180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1,1</m:t>
                                </m:r>
                              </m:sub>
                            </m:sSub>
                            <m:r>
                              <a:rPr lang="es-ES" sz="1800" i="1" kern="120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=</m:t>
                            </m:r>
                            <m:r>
                              <a:rPr lang="es-ES" sz="1800" b="0" i="1" kern="120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−</m:t>
                            </m:r>
                            <m:f>
                              <m:fPr>
                                <m:ctrlPr>
                                  <a:rPr lang="es-ES" sz="180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fPr>
                              <m:num>
                                <m:r>
                                  <a:rPr lang="es-ES" sz="1800" b="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𝑞</m:t>
                                </m:r>
                              </m:num>
                              <m:den>
                                <m:r>
                                  <a:rPr lang="es-ES" sz="1800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2</m:t>
                                </m:r>
                                <m:r>
                                  <m:rPr>
                                    <m:sty m:val="p"/>
                                  </m:rPr>
                                  <a:rPr lang="es-ES" sz="1800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Δ</m:t>
                                </m:r>
                                <m:r>
                                  <a:rPr lang="es-ES" sz="180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𝑥</m:t>
                                </m:r>
                              </m:den>
                            </m:f>
                            <m:r>
                              <a:rPr lang="es-ES" sz="1800" i="1" kern="120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−</m:t>
                            </m:r>
                            <m:f>
                              <m:fPr>
                                <m:ctrlPr>
                                  <a:rPr lang="es-ES" sz="180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fPr>
                              <m:num>
                                <m:r>
                                  <a:rPr lang="es-ES" sz="1800" b="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𝐷</m:t>
                                </m:r>
                              </m:num>
                              <m:den>
                                <m:r>
                                  <m:rPr>
                                    <m:sty m:val="p"/>
                                  </m:rPr>
                                  <a:rPr lang="es-ES" sz="1800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Δ</m:t>
                                </m:r>
                                <m:sSup>
                                  <m:sSupPr>
                                    <m:ctrlPr>
                                      <a:rPr lang="es-ES" sz="1800" i="1" kern="1200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sSupPr>
                                  <m:e>
                                    <m:r>
                                      <a:rPr lang="es-ES" sz="1800" i="1" kern="1200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𝑥</m:t>
                                    </m:r>
                                  </m:e>
                                  <m:sup>
                                    <m:r>
                                      <a:rPr lang="es-ES" sz="1800" i="1" kern="1200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2</m:t>
                                    </m:r>
                                  </m:sup>
                                </m:sSup>
                              </m:den>
                            </m:f>
                          </m:e>
                          <m:e>
                            <m:sSub>
                              <m:sSubPr>
                                <m:ctrlPr>
                                  <a:rPr lang="es-ES" sz="180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180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𝑇</m:t>
                                </m:r>
                              </m:e>
                              <m:sub>
                                <m:r>
                                  <a:rPr lang="es-ES" sz="1800" b="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1</m:t>
                                </m:r>
                                <m:r>
                                  <a:rPr lang="es-ES" sz="180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,</m:t>
                                </m:r>
                                <m:r>
                                  <a:rPr lang="es-ES" sz="1800" b="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2</m:t>
                                </m:r>
                              </m:sub>
                            </m:sSub>
                            <m:r>
                              <a:rPr lang="es-ES" sz="1800" i="1" kern="120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=</m:t>
                            </m:r>
                            <m:r>
                              <a:rPr lang="es-ES" sz="1800" b="0" i="1" kern="120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−</m:t>
                            </m:r>
                            <m:f>
                              <m:fPr>
                                <m:ctrlPr>
                                  <a:rPr lang="es-ES" sz="180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fPr>
                              <m:num>
                                <m:r>
                                  <a:rPr lang="es-ES" sz="1800" b="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𝑞</m:t>
                                </m:r>
                              </m:num>
                              <m:den>
                                <m:r>
                                  <a:rPr lang="es-ES" sz="1800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2</m:t>
                                </m:r>
                                <m:r>
                                  <m:rPr>
                                    <m:sty m:val="p"/>
                                  </m:rPr>
                                  <a:rPr lang="es-ES" sz="1800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Δ</m:t>
                                </m:r>
                                <m:r>
                                  <a:rPr lang="es-ES" sz="180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𝑥</m:t>
                                </m:r>
                              </m:den>
                            </m:f>
                            <m:r>
                              <a:rPr lang="es-ES" sz="1800" b="0" i="1" kern="120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f>
                              <m:fPr>
                                <m:ctrlPr>
                                  <a:rPr lang="es-ES" sz="180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fPr>
                              <m:num>
                                <m:r>
                                  <a:rPr lang="es-ES" sz="1800" b="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𝐷</m:t>
                                </m:r>
                              </m:num>
                              <m:den>
                                <m:r>
                                  <m:rPr>
                                    <m:sty m:val="p"/>
                                  </m:rPr>
                                  <a:rPr lang="es-ES" sz="1800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Δ</m:t>
                                </m:r>
                                <m:sSup>
                                  <m:sSupPr>
                                    <m:ctrlPr>
                                      <a:rPr lang="es-ES" sz="1800" i="1" kern="1200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sSupPr>
                                  <m:e>
                                    <m:r>
                                      <a:rPr lang="es-ES" sz="1800" i="1" kern="1200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𝑥</m:t>
                                    </m:r>
                                  </m:e>
                                  <m:sup>
                                    <m:r>
                                      <a:rPr lang="es-ES" sz="1800" i="1" kern="1200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2</m:t>
                                    </m:r>
                                  </m:sup>
                                </m:sSup>
                              </m:den>
                            </m:f>
                          </m:e>
                        </m:eqArr>
                      </m:e>
                    </m:d>
                  </m:oMath>
                </m:oMathPara>
              </a14:m>
              <a:endParaRPr lang="es-ES"/>
            </a:p>
          </xdr:txBody>
        </xdr:sp>
      </mc:Choice>
      <mc:Fallback xmlns="">
        <xdr:sp macro="" textlink="">
          <xdr:nvSpPr>
            <xdr:cNvPr id="7" name="CuadroTexto 5">
              <a:extLst>
                <a:ext uri="{FF2B5EF4-FFF2-40B4-BE49-F238E27FC236}">
                  <a16:creationId xmlns:a16="http://schemas.microsoft.com/office/drawing/2014/main" id="{3319ED08-3711-4CFD-90C2-DB8654325292}"/>
                </a:ext>
              </a:extLst>
            </xdr:cNvPr>
            <xdr:cNvSpPr txBox="1"/>
          </xdr:nvSpPr>
          <xdr:spPr>
            <a:xfrm>
              <a:off x="3760611" y="3732389"/>
              <a:ext cx="3488266" cy="1714500"/>
            </a:xfrm>
            <a:prstGeom prst="rect">
              <a:avLst/>
            </a:prstGeom>
            <a:solidFill>
              <a:sysClr val="window" lastClr="FFFFFF"/>
            </a:solidFill>
            <a:ln>
              <a:solidFill>
                <a:sysClr val="windowText" lastClr="000000"/>
              </a:solidFill>
            </a:ln>
          </xdr:spPr>
          <xdr:txBody>
            <a:bodyPr wrap="square" lIns="0" tIns="0" rIns="0" bIns="0" rtlCol="0" anchor="ctr">
              <a:noAutofit/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es-ES" i="0">
                  <a:latin typeface="Cambria Math" panose="02040503050406030204" pitchFamily="18" charset="0"/>
                </a:rPr>
                <a:t>{█(</a:t>
              </a:r>
              <a:r>
                <a:rPr lang="es-ES" sz="1800" i="0" kern="12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𝑇_1,1=</a:t>
              </a:r>
              <a:r>
                <a:rPr lang="es-ES" sz="1800" b="0" i="0" kern="12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−𝑞/</a:t>
              </a:r>
              <a:r>
                <a:rPr lang="es-ES" sz="1800" i="0" kern="12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2Δ𝑥−</a:t>
              </a:r>
              <a:r>
                <a:rPr lang="es-ES" sz="1800" b="0" i="0" kern="12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𝐷/(</a:t>
              </a:r>
              <a:r>
                <a:rPr lang="es-ES" sz="1800" i="0" kern="12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Δ𝑥^2 )</a:t>
              </a:r>
              <a:r>
                <a:rPr lang="es-ES" sz="1800" i="0" kern="12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@</a:t>
              </a:r>
              <a:r>
                <a:rPr lang="es-ES" sz="1800" i="0" kern="12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𝑇_</a:t>
              </a:r>
              <a:r>
                <a:rPr lang="es-ES" sz="1800" b="0" i="0" kern="12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1</a:t>
              </a:r>
              <a:r>
                <a:rPr lang="es-ES" sz="1800" i="0" kern="12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,</a:t>
              </a:r>
              <a:r>
                <a:rPr lang="es-ES" sz="1800" b="0" i="0" kern="12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2</a:t>
              </a:r>
              <a:r>
                <a:rPr lang="es-ES" sz="1800" i="0" kern="12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=</a:t>
              </a:r>
              <a:r>
                <a:rPr lang="es-ES" sz="1800" b="0" i="0" kern="12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−𝑞/</a:t>
              </a:r>
              <a:r>
                <a:rPr lang="es-ES" sz="1800" i="0" kern="12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2Δ𝑥</a:t>
              </a:r>
              <a:r>
                <a:rPr lang="es-ES" sz="1800" b="0" i="0" kern="12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+</a:t>
              </a:r>
              <a:r>
                <a:rPr lang="es-ES" sz="1800" b="0" i="0" kern="12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𝐷/(</a:t>
              </a:r>
              <a:r>
                <a:rPr lang="es-ES" sz="1800" i="0" kern="12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Δ𝑥^2 )</a:t>
              </a:r>
              <a:r>
                <a:rPr lang="es-ES" sz="1800" i="0" kern="12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)┤</a:t>
              </a:r>
              <a:endParaRPr lang="es-ES"/>
            </a:p>
          </xdr:txBody>
        </xdr:sp>
      </mc:Fallback>
    </mc:AlternateContent>
    <xdr:clientData/>
  </xdr:twoCellAnchor>
  <xdr:twoCellAnchor>
    <xdr:from>
      <xdr:col>8</xdr:col>
      <xdr:colOff>225776</xdr:colOff>
      <xdr:row>21</xdr:row>
      <xdr:rowOff>21167</xdr:rowOff>
    </xdr:from>
    <xdr:to>
      <xdr:col>16</xdr:col>
      <xdr:colOff>112888</xdr:colOff>
      <xdr:row>35</xdr:row>
      <xdr:rowOff>91721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CuadroTexto 3">
              <a:extLst>
                <a:ext uri="{FF2B5EF4-FFF2-40B4-BE49-F238E27FC236}">
                  <a16:creationId xmlns:a16="http://schemas.microsoft.com/office/drawing/2014/main" id="{2D0540CA-BEC0-4FD2-BF25-7A4E5A84E7F5}"/>
                </a:ext>
              </a:extLst>
            </xdr:cNvPr>
            <xdr:cNvSpPr txBox="1"/>
          </xdr:nvSpPr>
          <xdr:spPr>
            <a:xfrm>
              <a:off x="7563554" y="3873500"/>
              <a:ext cx="5983112" cy="2638777"/>
            </a:xfrm>
            <a:prstGeom prst="rect">
              <a:avLst/>
            </a:prstGeom>
            <a:solidFill>
              <a:schemeClr val="bg1"/>
            </a:solidFill>
            <a:ln>
              <a:solidFill>
                <a:sysClr val="windowText" lastClr="000000"/>
              </a:solidFill>
            </a:ln>
          </xdr:spPr>
          <xdr:txBody>
            <a:bodyPr wrap="square" lIns="0" tIns="0" rIns="0" bIns="0" rtlCol="0" anchor="ctr">
              <a:no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r>
                      <a:rPr lang="es-ES" sz="2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∀</m:t>
                    </m:r>
                    <m:r>
                      <a:rPr lang="es-ES" sz="2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𝑖</m:t>
                    </m:r>
                    <m:r>
                      <a:rPr lang="es-ES" sz="2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∈</m:t>
                    </m:r>
                    <m:d>
                      <m:dPr>
                        <m:begChr m:val="{"/>
                        <m:endChr m:val="}"/>
                        <m:ctrlPr>
                          <a:rPr lang="es-ES" sz="24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s-ES" sz="24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2,…,</m:t>
                        </m:r>
                        <m:r>
                          <a:rPr lang="es-ES" sz="24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𝑛</m:t>
                        </m:r>
                        <m:r>
                          <a:rPr lang="es-ES" sz="24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−1</m:t>
                        </m:r>
                      </m:e>
                    </m:d>
                    <m:r>
                      <a:rPr lang="es-ES" sz="2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,  </m:t>
                    </m:r>
                    <m:d>
                      <m:dPr>
                        <m:begChr m:val="{"/>
                        <m:endChr m:val=""/>
                        <m:ctrlPr>
                          <a:rPr lang="es-ES" sz="24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dPr>
                      <m:e>
                        <m:eqArr>
                          <m:eqArrPr>
                            <m:ctrlPr>
                              <a:rPr lang="es-ES" sz="24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eqArrPr>
                          <m:e>
                            <m:sSub>
                              <m:sSubPr>
                                <m:ctrlPr>
                                  <a:rPr lang="es-ES" sz="24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s-ES" sz="24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𝑇</m:t>
                                </m:r>
                              </m:e>
                              <m:sub>
                                <m:r>
                                  <a:rPr lang="es-ES" sz="24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𝑖</m:t>
                                </m:r>
                                <m:r>
                                  <a:rPr lang="es-ES" sz="24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,</m:t>
                                </m:r>
                                <m:r>
                                  <a:rPr lang="es-ES" sz="24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𝑖</m:t>
                                </m:r>
                                <m:r>
                                  <a:rPr lang="es-ES" sz="24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−1</m:t>
                                </m:r>
                              </m:sub>
                            </m:sSub>
                            <m:r>
                              <a:rPr lang="es-ES" sz="24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=</m:t>
                            </m:r>
                            <m:f>
                              <m:fPr>
                                <m:ctrlPr>
                                  <a:rPr lang="es-ES" sz="24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fPr>
                              <m:num>
                                <m:r>
                                  <a:rPr lang="es-ES" sz="24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𝑞</m:t>
                                </m:r>
                              </m:num>
                              <m:den>
                                <m:r>
                                  <a:rPr lang="es-ES" sz="24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2</m:t>
                                </m:r>
                                <m:r>
                                  <m:rPr>
                                    <m:sty m:val="p"/>
                                  </m:rPr>
                                  <a:rPr lang="es-ES" sz="2400" b="0" i="0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Δ</m:t>
                                </m:r>
                                <m:r>
                                  <a:rPr lang="es-ES" sz="24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𝑥</m:t>
                                </m:r>
                              </m:den>
                            </m:f>
                            <m:r>
                              <a:rPr lang="es-ES" sz="24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+</m:t>
                            </m:r>
                            <m:f>
                              <m:fPr>
                                <m:ctrlPr>
                                  <a:rPr lang="es-ES" sz="24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fPr>
                              <m:num>
                                <m:r>
                                  <a:rPr lang="es-ES" sz="24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𝐷</m:t>
                                </m:r>
                              </m:num>
                              <m:den>
                                <m:r>
                                  <m:rPr>
                                    <m:sty m:val="p"/>
                                  </m:rPr>
                                  <a:rPr lang="es-ES" sz="2400" b="0" i="0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Δ</m:t>
                                </m:r>
                                <m:sSup>
                                  <m:sSupPr>
                                    <m:ctrlPr>
                                      <a:rPr lang="es-ES" sz="2400" b="0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</m:ctrlPr>
                                  </m:sSupPr>
                                  <m:e>
                                    <m:r>
                                      <a:rPr lang="es-ES" sz="2400" b="0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  <m:t>𝑥</m:t>
                                    </m:r>
                                  </m:e>
                                  <m:sup>
                                    <m:r>
                                      <a:rPr lang="es-ES" sz="2400" b="0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  <m:t>2</m:t>
                                    </m:r>
                                  </m:sup>
                                </m:sSup>
                              </m:den>
                            </m:f>
                          </m:e>
                          <m:e>
                            <m:sSub>
                              <m:sSubPr>
                                <m:ctrlPr>
                                  <a:rPr lang="es-ES" sz="2400" b="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2400" b="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  <m:t>𝑇</m:t>
                                </m:r>
                              </m:e>
                              <m:sub>
                                <m:r>
                                  <a:rPr lang="es-ES" sz="2400" b="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  <m:t>𝑖</m:t>
                                </m:r>
                                <m:r>
                                  <a:rPr lang="es-ES" sz="2400" b="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  <m:t>,</m:t>
                                </m:r>
                                <m:r>
                                  <a:rPr lang="es-ES" sz="2400" b="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  <m:t>𝑖</m:t>
                                </m:r>
                                <m:r>
                                  <a:rPr lang="es-ES" sz="2400" b="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  <m:t>+1</m:t>
                                </m:r>
                              </m:sub>
                            </m:sSub>
                            <m:r>
                              <a:rPr lang="es-ES" sz="2400" b="0" i="1" kern="120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=−</m:t>
                            </m:r>
                            <m:f>
                              <m:fPr>
                                <m:ctrlPr>
                                  <a:rPr lang="es-ES" sz="2400" b="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</m:ctrlPr>
                              </m:fPr>
                              <m:num>
                                <m:r>
                                  <a:rPr lang="es-ES" sz="2400" b="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  <m:t>𝑞</m:t>
                                </m:r>
                              </m:num>
                              <m:den>
                                <m:r>
                                  <a:rPr lang="es-ES" sz="2400" b="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  <m:t>2</m:t>
                                </m:r>
                                <m:r>
                                  <m:rPr>
                                    <m:sty m:val="p"/>
                                  </m:rPr>
                                  <a:rPr lang="es-ES" sz="2400" b="0" i="0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  <m:t>Δ</m:t>
                                </m:r>
                                <m:r>
                                  <a:rPr lang="es-ES" sz="2400" b="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  <m:t>𝑥</m:t>
                                </m:r>
                              </m:den>
                            </m:f>
                            <m:r>
                              <a:rPr lang="es-ES" sz="2400" b="0" i="1" kern="120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+</m:t>
                            </m:r>
                            <m:f>
                              <m:fPr>
                                <m:ctrlPr>
                                  <a:rPr lang="es-ES" sz="2400" b="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</m:ctrlPr>
                              </m:fPr>
                              <m:num>
                                <m:r>
                                  <a:rPr lang="es-ES" sz="2400" b="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  <m:t>𝐷</m:t>
                                </m:r>
                              </m:num>
                              <m:den>
                                <m:r>
                                  <m:rPr>
                                    <m:sty m:val="p"/>
                                  </m:rPr>
                                  <a:rPr lang="es-ES" sz="2400" b="0" i="0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  <m:t>Δ</m:t>
                                </m:r>
                                <m:sSup>
                                  <m:sSupPr>
                                    <m:ctrlPr>
                                      <a:rPr lang="es-ES" sz="2400" b="0" i="1" kern="1200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  <a:cs typeface="+mn-cs"/>
                                      </a:rPr>
                                    </m:ctrlPr>
                                  </m:sSupPr>
                                  <m:e>
                                    <m:r>
                                      <a:rPr lang="es-ES" sz="2400" b="0" i="1" kern="1200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  <a:cs typeface="+mn-cs"/>
                                      </a:rPr>
                                      <m:t>𝑥</m:t>
                                    </m:r>
                                  </m:e>
                                  <m:sup>
                                    <m:r>
                                      <a:rPr lang="es-ES" sz="2400" b="0" i="1" kern="1200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  <a:cs typeface="+mn-cs"/>
                                      </a:rPr>
                                      <m:t>2</m:t>
                                    </m:r>
                                  </m:sup>
                                </m:sSup>
                              </m:den>
                            </m:f>
                          </m:e>
                          <m:e>
                            <m:sSub>
                              <m:sSubPr>
                                <m:ctrlPr>
                                  <a:rPr lang="es-ES" sz="2400" b="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2400" b="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  <m:t>𝑇</m:t>
                                </m:r>
                              </m:e>
                              <m:sub>
                                <m:r>
                                  <a:rPr lang="es-ES" sz="2400" b="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  <m:t>𝑖</m:t>
                                </m:r>
                                <m:r>
                                  <a:rPr lang="es-ES" sz="2400" b="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  <m:t>,</m:t>
                                </m:r>
                                <m:r>
                                  <a:rPr lang="es-ES" sz="2400" b="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  <m:t>𝑖</m:t>
                                </m:r>
                              </m:sub>
                            </m:sSub>
                            <m:r>
                              <a:rPr lang="es-ES" sz="2400" b="0" i="1" kern="120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=−</m:t>
                            </m:r>
                            <m:sSub>
                              <m:sSubPr>
                                <m:ctrlPr>
                                  <a:rPr lang="es-ES" sz="2400" b="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2400" b="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  <m:t>𝑇</m:t>
                                </m:r>
                              </m:e>
                              <m:sub>
                                <m:r>
                                  <a:rPr lang="es-ES" sz="2400" b="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  <m:t>𝑖</m:t>
                                </m:r>
                                <m:r>
                                  <a:rPr lang="es-ES" sz="2400" b="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  <m:t>,</m:t>
                                </m:r>
                                <m:r>
                                  <a:rPr lang="es-ES" sz="2400" b="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  <m:t>𝑖</m:t>
                                </m:r>
                                <m:r>
                                  <a:rPr lang="es-ES" sz="2400" b="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  <m:t>−1</m:t>
                                </m:r>
                              </m:sub>
                            </m:sSub>
                            <m:r>
                              <a:rPr lang="es-ES" sz="2400" b="0" i="1" kern="120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−</m:t>
                            </m:r>
                            <m:sSub>
                              <m:sSubPr>
                                <m:ctrlPr>
                                  <a:rPr lang="es-ES" sz="2400" b="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2400" b="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  <m:t>𝑇</m:t>
                                </m:r>
                              </m:e>
                              <m:sub>
                                <m:r>
                                  <a:rPr lang="es-ES" sz="2400" b="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  <m:t>𝑖</m:t>
                                </m:r>
                                <m:r>
                                  <a:rPr lang="es-ES" sz="2400" b="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  <m:t>,</m:t>
                                </m:r>
                                <m:r>
                                  <a:rPr lang="es-ES" sz="2400" b="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  <m:t>𝑖</m:t>
                                </m:r>
                                <m:r>
                                  <a:rPr lang="es-ES" sz="2400" b="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  <m:t>+1</m:t>
                                </m:r>
                              </m:sub>
                            </m:sSub>
                          </m:e>
                        </m:eqArr>
                      </m:e>
                    </m:d>
                  </m:oMath>
                </m:oMathPara>
              </a14:m>
              <a:endParaRPr lang="es-ES" sz="2400" b="0" i="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0" name="CuadroTexto 3">
              <a:extLst>
                <a:ext uri="{FF2B5EF4-FFF2-40B4-BE49-F238E27FC236}">
                  <a16:creationId xmlns:a16="http://schemas.microsoft.com/office/drawing/2014/main" id="{2D0540CA-BEC0-4FD2-BF25-7A4E5A84E7F5}"/>
                </a:ext>
              </a:extLst>
            </xdr:cNvPr>
            <xdr:cNvSpPr txBox="1"/>
          </xdr:nvSpPr>
          <xdr:spPr>
            <a:xfrm>
              <a:off x="7563554" y="3873500"/>
              <a:ext cx="5983112" cy="2638777"/>
            </a:xfrm>
            <a:prstGeom prst="rect">
              <a:avLst/>
            </a:prstGeom>
            <a:solidFill>
              <a:schemeClr val="bg1"/>
            </a:solidFill>
            <a:ln>
              <a:solidFill>
                <a:sysClr val="windowText" lastClr="000000"/>
              </a:solidFill>
            </a:ln>
          </xdr:spPr>
          <xdr:txBody>
            <a:bodyPr wrap="square" lIns="0" tIns="0" rIns="0" bIns="0" rtlCol="0" anchor="ctr">
              <a:no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es-ES" sz="24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∀𝑖∈{2,…,𝑛−1},  {█(𝑇_(𝑖,𝑖−1)=𝑞/2Δ𝑥+𝐷/(Δ𝑥^2 )@</a:t>
              </a:r>
              <a:r>
                <a:rPr lang="es-ES" sz="2400" b="0" i="0" kern="12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𝑇_(𝑖,𝑖+1)=−𝑞/2Δ𝑥+𝐷/(Δ𝑥^2 )@𝑇_(𝑖,𝑖)=−𝑇_(𝑖,𝑖−1)−𝑇_(𝑖,𝑖+1) )┤</a:t>
              </a:r>
              <a:endParaRPr lang="es-ES" sz="2400" b="0" i="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329334</xdr:colOff>
      <xdr:row>0</xdr:row>
      <xdr:rowOff>140190</xdr:rowOff>
    </xdr:from>
    <xdr:to>
      <xdr:col>20</xdr:col>
      <xdr:colOff>591993</xdr:colOff>
      <xdr:row>15</xdr:row>
      <xdr:rowOff>140189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8DB262C-CAA4-8FD1-22B1-A183A79274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666750</xdr:colOff>
      <xdr:row>11</xdr:row>
      <xdr:rowOff>86591</xdr:rowOff>
    </xdr:from>
    <xdr:to>
      <xdr:col>14</xdr:col>
      <xdr:colOff>38986</xdr:colOff>
      <xdr:row>20</xdr:row>
      <xdr:rowOff>18656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CuadroTexto 4">
              <a:extLst>
                <a:ext uri="{FF2B5EF4-FFF2-40B4-BE49-F238E27FC236}">
                  <a16:creationId xmlns:a16="http://schemas.microsoft.com/office/drawing/2014/main" id="{95DE66B6-A613-45FE-85A8-5DE36D8FB47C}"/>
                </a:ext>
              </a:extLst>
            </xdr:cNvPr>
            <xdr:cNvSpPr txBox="1"/>
          </xdr:nvSpPr>
          <xdr:spPr>
            <a:xfrm>
              <a:off x="666750" y="2086841"/>
              <a:ext cx="9962304" cy="1568633"/>
            </a:xfrm>
            <a:prstGeom prst="rect">
              <a:avLst/>
            </a:prstGeom>
            <a:solidFill>
              <a:schemeClr val="bg1"/>
            </a:solidFill>
            <a:ln>
              <a:solidFill>
                <a:sysClr val="windowText" lastClr="000000"/>
              </a:solidFill>
            </a:ln>
          </xdr:spPr>
          <xdr:txBody>
            <a:bodyPr wrap="square" lIns="0" tIns="0" rIns="0" bIns="0" rtlCol="0">
              <a:sp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3600" b="0" i="1">
                        <a:latin typeface="Cambria Math" panose="02040503050406030204" pitchFamily="18" charset="0"/>
                      </a:rPr>
                      <m:t>∀</m:t>
                    </m:r>
                    <m:r>
                      <a:rPr lang="es-ES" sz="3600" b="1" i="0">
                        <a:latin typeface="Cambria Math" panose="02040503050406030204" pitchFamily="18" charset="0"/>
                      </a:rPr>
                      <m:t> </m:t>
                    </m:r>
                    <m:r>
                      <a:rPr lang="es-ES" sz="3600" b="0" i="1">
                        <a:latin typeface="Cambria Math" panose="02040503050406030204" pitchFamily="18" charset="0"/>
                      </a:rPr>
                      <m:t>𝑖</m:t>
                    </m:r>
                    <m:r>
                      <a:rPr lang="es-ES" sz="3600" b="0" i="1">
                        <a:latin typeface="Cambria Math" panose="02040503050406030204" pitchFamily="18" charset="0"/>
                      </a:rPr>
                      <m:t>∈</m:t>
                    </m:r>
                    <m:d>
                      <m:dPr>
                        <m:begChr m:val="{"/>
                        <m:endChr m:val="}"/>
                        <m:ctrlPr>
                          <a:rPr lang="es-ES" sz="36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s-ES" sz="3600" b="0" i="1">
                            <a:latin typeface="Cambria Math" panose="02040503050406030204" pitchFamily="18" charset="0"/>
                          </a:rPr>
                          <m:t>1,…,</m:t>
                        </m:r>
                        <m:r>
                          <a:rPr lang="es-ES" sz="3600" b="0" i="1">
                            <a:latin typeface="Cambria Math" panose="02040503050406030204" pitchFamily="18" charset="0"/>
                          </a:rPr>
                          <m:t>𝑛</m:t>
                        </m:r>
                      </m:e>
                    </m:d>
                    <m:r>
                      <a:rPr lang="es-ES" sz="3600" b="1" i="1">
                        <a:latin typeface="Cambria Math" panose="02040503050406030204" pitchFamily="18" charset="0"/>
                      </a:rPr>
                      <m:t>,  </m:t>
                    </m:r>
                    <m:sSubSup>
                      <m:sSubSupPr>
                        <m:ctrlPr>
                          <a:rPr lang="es-ES" sz="3600" b="1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s-ES" sz="3600" b="1" i="0">
                            <a:latin typeface="Cambria Math" panose="02040503050406030204" pitchFamily="18" charset="0"/>
                          </a:rPr>
                          <m:t>𝐜</m:t>
                        </m:r>
                      </m:e>
                      <m:sub>
                        <m:r>
                          <a:rPr lang="es-ES" sz="36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  <m:sup>
                        <m:r>
                          <a:rPr lang="es-ES" sz="3600" b="0" i="1">
                            <a:latin typeface="Cambria Math" panose="02040503050406030204" pitchFamily="18" charset="0"/>
                          </a:rPr>
                          <m:t>𝑘</m:t>
                        </m:r>
                        <m:r>
                          <a:rPr lang="es-ES" sz="3600" b="0" i="1">
                            <a:latin typeface="Cambria Math" panose="02040503050406030204" pitchFamily="18" charset="0"/>
                          </a:rPr>
                          <m:t>+1</m:t>
                        </m:r>
                      </m:sup>
                    </m:sSubSup>
                    <m:r>
                      <a:rPr lang="es-ES" sz="3600" b="0" i="1">
                        <a:latin typeface="Cambria Math" panose="02040503050406030204" pitchFamily="18" charset="0"/>
                      </a:rPr>
                      <m:t>=</m:t>
                    </m:r>
                    <m:nary>
                      <m:naryPr>
                        <m:chr m:val="∑"/>
                        <m:ctrlPr>
                          <a:rPr lang="es-ES" sz="3600" b="0" i="1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m:rPr>
                            <m:brk m:alnAt="23"/>
                          </m:rPr>
                          <a:rPr lang="es-ES" sz="3600" b="0" i="1">
                            <a:latin typeface="Cambria Math" panose="02040503050406030204" pitchFamily="18" charset="0"/>
                          </a:rPr>
                          <m:t>𝑗</m:t>
                        </m:r>
                        <m:r>
                          <a:rPr lang="es-ES" sz="3600" b="0" i="1">
                            <a:latin typeface="Cambria Math" panose="02040503050406030204" pitchFamily="18" charset="0"/>
                          </a:rPr>
                          <m:t>=1</m:t>
                        </m:r>
                      </m:sub>
                      <m:sup>
                        <m:r>
                          <a:rPr lang="es-ES" sz="3600" b="0" i="1">
                            <a:latin typeface="Cambria Math" panose="02040503050406030204" pitchFamily="18" charset="0"/>
                          </a:rPr>
                          <m:t>𝑛</m:t>
                        </m:r>
                      </m:sup>
                      <m:e>
                        <m:sSub>
                          <m:sSubPr>
                            <m:ctrlPr>
                              <a:rPr lang="es-ES" sz="3600" b="0" i="1">
                                <a:solidFill>
                                  <a:schemeClr val="accent6">
                                    <a:lumMod val="60000"/>
                                    <a:lumOff val="40000"/>
                                  </a:schemeClr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ES" sz="3600" b="0" i="1">
                                <a:solidFill>
                                  <a:schemeClr val="accent6">
                                    <a:lumMod val="60000"/>
                                    <a:lumOff val="40000"/>
                                  </a:schemeClr>
                                </a:solidFill>
                                <a:latin typeface="Cambria Math" panose="02040503050406030204" pitchFamily="18" charset="0"/>
                              </a:rPr>
                              <m:t>𝜆</m:t>
                            </m:r>
                          </m:e>
                          <m:sub>
                            <m:r>
                              <a:rPr lang="es-ES" sz="3600" b="0" i="1">
                                <a:solidFill>
                                  <a:schemeClr val="accent6">
                                    <a:lumMod val="60000"/>
                                    <a:lumOff val="40000"/>
                                  </a:schemeClr>
                                </a:solidFill>
                                <a:latin typeface="Cambria Math" panose="02040503050406030204" pitchFamily="18" charset="0"/>
                              </a:rPr>
                              <m:t>𝑖</m:t>
                            </m:r>
                            <m:r>
                              <a:rPr lang="es-ES" sz="3600" b="0" i="1">
                                <a:solidFill>
                                  <a:schemeClr val="accent6">
                                    <a:lumMod val="60000"/>
                                    <a:lumOff val="40000"/>
                                  </a:schemeClr>
                                </a:solidFill>
                                <a:latin typeface="Cambria Math" panose="02040503050406030204" pitchFamily="18" charset="0"/>
                              </a:rPr>
                              <m:t>,</m:t>
                            </m:r>
                            <m:r>
                              <a:rPr lang="es-ES" sz="3600" b="0" i="1">
                                <a:solidFill>
                                  <a:schemeClr val="accent6">
                                    <a:lumMod val="60000"/>
                                    <a:lumOff val="40000"/>
                                  </a:schemeClr>
                                </a:solidFill>
                                <a:latin typeface="Cambria Math" panose="02040503050406030204" pitchFamily="18" charset="0"/>
                              </a:rPr>
                              <m:t>𝑗</m:t>
                            </m:r>
                          </m:sub>
                        </m:sSub>
                        <m:sSubSup>
                          <m:sSubSupPr>
                            <m:ctrlPr>
                              <a:rPr lang="es-ES" sz="3600" b="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a:rPr lang="es-ES" sz="3600" b="1" i="0">
                                <a:latin typeface="Cambria Math" panose="02040503050406030204" pitchFamily="18" charset="0"/>
                              </a:rPr>
                              <m:t>𝐜</m:t>
                            </m:r>
                          </m:e>
                          <m:sub>
                            <m:r>
                              <a:rPr lang="es-ES" sz="3600" b="0" i="1">
                                <a:latin typeface="Cambria Math" panose="02040503050406030204" pitchFamily="18" charset="0"/>
                              </a:rPr>
                              <m:t>𝑗</m:t>
                            </m:r>
                          </m:sub>
                          <m:sup>
                            <m:r>
                              <a:rPr lang="es-ES" sz="3600" b="0" i="1">
                                <a:latin typeface="Cambria Math" panose="02040503050406030204" pitchFamily="18" charset="0"/>
                              </a:rPr>
                              <m:t>𝑘</m:t>
                            </m:r>
                          </m:sup>
                        </m:sSubSup>
                      </m:e>
                    </m:nary>
                    <m:r>
                      <a:rPr lang="es-ES" sz="3600" b="0" i="1">
                        <a:latin typeface="Cambria Math" panose="02040503050406030204" pitchFamily="18" charset="0"/>
                      </a:rPr>
                      <m:t>+</m:t>
                    </m:r>
                    <m:sSub>
                      <m:sSubPr>
                        <m:ctrlPr>
                          <a:rPr lang="es-ES" sz="3600" b="0" i="1">
                            <a:solidFill>
                              <a:schemeClr val="accent4">
                                <a:lumMod val="60000"/>
                                <a:lumOff val="40000"/>
                              </a:schemeClr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ES" sz="3600" b="0" i="1">
                            <a:solidFill>
                              <a:schemeClr val="accent4">
                                <a:lumMod val="60000"/>
                                <a:lumOff val="4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𝜆</m:t>
                        </m:r>
                      </m:e>
                      <m:sub>
                        <m:r>
                          <a:rPr lang="es-ES" sz="3600" b="0" i="1">
                            <a:solidFill>
                              <a:schemeClr val="accent4">
                                <a:lumMod val="60000"/>
                                <a:lumOff val="4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𝑖</m:t>
                        </m:r>
                        <m:r>
                          <a:rPr lang="es-ES" sz="3600" b="0" i="1">
                            <a:solidFill>
                              <a:schemeClr val="accent4">
                                <a:lumMod val="60000"/>
                                <a:lumOff val="4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es-ES" sz="3600" b="0" i="1">
                            <a:solidFill>
                              <a:schemeClr val="accent4">
                                <a:lumMod val="60000"/>
                                <a:lumOff val="4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𝑖𝑛𝑓</m:t>
                        </m:r>
                      </m:sub>
                    </m:sSub>
                    <m:sSub>
                      <m:sSubPr>
                        <m:ctrlPr>
                          <a:rPr lang="es-ES" sz="36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ES" sz="3600" b="1" i="0">
                            <a:latin typeface="Cambria Math" panose="02040503050406030204" pitchFamily="18" charset="0"/>
                          </a:rPr>
                          <m:t>𝐜</m:t>
                        </m:r>
                      </m:e>
                      <m:sub>
                        <m:r>
                          <a:rPr lang="es-ES" sz="3600" b="0" i="1">
                            <a:latin typeface="Cambria Math" panose="02040503050406030204" pitchFamily="18" charset="0"/>
                          </a:rPr>
                          <m:t>𝑖𝑛𝑓</m:t>
                        </m:r>
                      </m:sub>
                    </m:sSub>
                  </m:oMath>
                </m:oMathPara>
              </a14:m>
              <a:endParaRPr lang="es-ES" sz="3600"/>
            </a:p>
          </xdr:txBody>
        </xdr:sp>
      </mc:Choice>
      <mc:Fallback xmlns="">
        <xdr:sp macro="" textlink="">
          <xdr:nvSpPr>
            <xdr:cNvPr id="3" name="CuadroTexto 4">
              <a:extLst>
                <a:ext uri="{FF2B5EF4-FFF2-40B4-BE49-F238E27FC236}">
                  <a16:creationId xmlns:a16="http://schemas.microsoft.com/office/drawing/2014/main" id="{95DE66B6-A613-45FE-85A8-5DE36D8FB47C}"/>
                </a:ext>
              </a:extLst>
            </xdr:cNvPr>
            <xdr:cNvSpPr txBox="1"/>
          </xdr:nvSpPr>
          <xdr:spPr>
            <a:xfrm>
              <a:off x="666750" y="2086841"/>
              <a:ext cx="9962304" cy="1568633"/>
            </a:xfrm>
            <a:prstGeom prst="rect">
              <a:avLst/>
            </a:prstGeom>
            <a:solidFill>
              <a:schemeClr val="bg1"/>
            </a:solidFill>
            <a:ln>
              <a:solidFill>
                <a:sysClr val="windowText" lastClr="000000"/>
              </a:solidFill>
            </a:ln>
          </xdr:spPr>
          <xdr:txBody>
            <a:bodyPr wrap="square" lIns="0" tIns="0" rIns="0" bIns="0" rtlCol="0">
              <a:sp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es-ES" sz="3600" b="0" i="0">
                  <a:latin typeface="Cambria Math" panose="02040503050406030204" pitchFamily="18" charset="0"/>
                </a:rPr>
                <a:t>∀</a:t>
              </a:r>
              <a:r>
                <a:rPr lang="es-ES" sz="3600" b="1" i="0">
                  <a:latin typeface="Cambria Math" panose="02040503050406030204" pitchFamily="18" charset="0"/>
                </a:rPr>
                <a:t> </a:t>
              </a:r>
              <a:r>
                <a:rPr lang="es-ES" sz="3600" b="0" i="0">
                  <a:latin typeface="Cambria Math" panose="02040503050406030204" pitchFamily="18" charset="0"/>
                </a:rPr>
                <a:t>𝑖∈{1,…,𝑛}</a:t>
              </a:r>
              <a:r>
                <a:rPr lang="es-ES" sz="3600" b="1" i="0">
                  <a:latin typeface="Cambria Math" panose="02040503050406030204" pitchFamily="18" charset="0"/>
                </a:rPr>
                <a:t>,  𝐜_</a:t>
              </a:r>
              <a:r>
                <a:rPr lang="es-ES" sz="3600" b="0" i="0">
                  <a:latin typeface="Cambria Math" panose="02040503050406030204" pitchFamily="18" charset="0"/>
                </a:rPr>
                <a:t>𝑖^</a:t>
              </a:r>
              <a:r>
                <a:rPr lang="es-ES" sz="3600" b="1" i="0">
                  <a:latin typeface="Cambria Math" panose="02040503050406030204" pitchFamily="18" charset="0"/>
                </a:rPr>
                <a:t>(</a:t>
              </a:r>
              <a:r>
                <a:rPr lang="es-ES" sz="3600" b="0" i="0">
                  <a:latin typeface="Cambria Math" panose="02040503050406030204" pitchFamily="18" charset="0"/>
                </a:rPr>
                <a:t>𝑘+1</a:t>
              </a:r>
              <a:r>
                <a:rPr lang="es-ES" sz="3600" b="1" i="0">
                  <a:latin typeface="Cambria Math" panose="02040503050406030204" pitchFamily="18" charset="0"/>
                </a:rPr>
                <a:t>)</a:t>
              </a:r>
              <a:r>
                <a:rPr lang="es-ES" sz="3600" b="0" i="0">
                  <a:latin typeface="Cambria Math" panose="02040503050406030204" pitchFamily="18" charset="0"/>
                </a:rPr>
                <a:t>=∑_(𝑗=1)^𝑛▒〖</a:t>
              </a:r>
              <a:r>
                <a:rPr lang="es-ES" sz="3600" b="0" i="0">
                  <a:solidFill>
                    <a:schemeClr val="accent6">
                      <a:lumMod val="60000"/>
                      <a:lumOff val="40000"/>
                    </a:schemeClr>
                  </a:solidFill>
                  <a:latin typeface="Cambria Math" panose="02040503050406030204" pitchFamily="18" charset="0"/>
                </a:rPr>
                <a:t>𝜆_(𝑖,𝑗) </a:t>
              </a:r>
              <a:r>
                <a:rPr lang="es-ES" sz="3600" b="1" i="0">
                  <a:latin typeface="Cambria Math" panose="02040503050406030204" pitchFamily="18" charset="0"/>
                </a:rPr>
                <a:t>𝐜</a:t>
              </a:r>
              <a:r>
                <a:rPr lang="es-ES" sz="3600" b="0" i="0">
                  <a:latin typeface="Cambria Math" panose="02040503050406030204" pitchFamily="18" charset="0"/>
                </a:rPr>
                <a:t>_𝑗^𝑘 〗+</a:t>
              </a:r>
              <a:r>
                <a:rPr lang="es-ES" sz="3600" b="0" i="0">
                  <a:solidFill>
                    <a:schemeClr val="accent4">
                      <a:lumMod val="60000"/>
                      <a:lumOff val="40000"/>
                    </a:schemeClr>
                  </a:solidFill>
                  <a:latin typeface="Cambria Math" panose="02040503050406030204" pitchFamily="18" charset="0"/>
                </a:rPr>
                <a:t>𝜆_(𝑖,𝑖𝑛𝑓) </a:t>
              </a:r>
              <a:r>
                <a:rPr lang="es-ES" sz="3600" b="1" i="0">
                  <a:latin typeface="Cambria Math" panose="02040503050406030204" pitchFamily="18" charset="0"/>
                </a:rPr>
                <a:t>𝐜</a:t>
              </a:r>
              <a:r>
                <a:rPr lang="es-ES" sz="3600" b="0" i="0">
                  <a:latin typeface="Cambria Math" panose="02040503050406030204" pitchFamily="18" charset="0"/>
                </a:rPr>
                <a:t>_𝑖𝑛𝑓</a:t>
              </a:r>
              <a:endParaRPr lang="es-ES" sz="3600"/>
            </a:p>
          </xdr:txBody>
        </xdr:sp>
      </mc:Fallback>
    </mc:AlternateContent>
    <xdr:clientData/>
  </xdr:twoCellAnchor>
  <xdr:twoCellAnchor>
    <xdr:from>
      <xdr:col>14</xdr:col>
      <xdr:colOff>381001</xdr:colOff>
      <xdr:row>17</xdr:row>
      <xdr:rowOff>112569</xdr:rowOff>
    </xdr:from>
    <xdr:to>
      <xdr:col>18</xdr:col>
      <xdr:colOff>524935</xdr:colOff>
      <xdr:row>20</xdr:row>
      <xdr:rowOff>159963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CuadroTexto 3">
              <a:extLst>
                <a:ext uri="{FF2B5EF4-FFF2-40B4-BE49-F238E27FC236}">
                  <a16:creationId xmlns:a16="http://schemas.microsoft.com/office/drawing/2014/main" id="{1F585B77-6309-4D03-8458-623DB544B6FD}"/>
                </a:ext>
              </a:extLst>
            </xdr:cNvPr>
            <xdr:cNvSpPr txBox="1"/>
          </xdr:nvSpPr>
          <xdr:spPr>
            <a:xfrm>
              <a:off x="10971069" y="3203864"/>
              <a:ext cx="3191934" cy="592917"/>
            </a:xfrm>
            <a:prstGeom prst="rect">
              <a:avLst/>
            </a:prstGeom>
            <a:solidFill>
              <a:schemeClr val="bg1"/>
            </a:solidFill>
            <a:ln>
              <a:solidFill>
                <a:sysClr val="windowText" lastClr="000000"/>
              </a:solidFill>
            </a:ln>
          </xdr:spPr>
          <xdr:txBody>
            <a:bodyPr wrap="square" lIns="0" tIns="0" rIns="0" bIns="0" rtlCol="0">
              <a:sp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ES" sz="3600" b="0" i="1" kern="120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s-ES" sz="3600" b="1" i="0" kern="120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𝐜</m:t>
                        </m:r>
                      </m:e>
                      <m:sub>
                        <m:r>
                          <a:rPr lang="es-ES" sz="3600" b="0" i="1" kern="120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𝑖</m:t>
                        </m:r>
                      </m:sub>
                    </m:sSub>
                    <m:r>
                      <a:rPr lang="es-ES" sz="3600" b="0" i="1" kern="120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,</m:t>
                    </m:r>
                    <m:sSub>
                      <m:sSubPr>
                        <m:ctrlPr>
                          <a:rPr lang="es-ES" sz="3600" b="0" i="1" kern="120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s-ES" sz="3600" b="1" i="0" kern="120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𝐜</m:t>
                        </m:r>
                      </m:e>
                      <m:sub>
                        <m:r>
                          <a:rPr lang="es-ES" sz="3600" b="0" i="1" kern="120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𝑖𝑛𝑓</m:t>
                        </m:r>
                      </m:sub>
                    </m:sSub>
                    <m:r>
                      <a:rPr lang="es-ES" sz="3600" b="0" i="1" kern="120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∈</m:t>
                    </m:r>
                    <m:sSup>
                      <m:sSupPr>
                        <m:ctrlPr>
                          <a:rPr lang="es-ES" sz="3600" b="0" i="1" kern="120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pPr>
                      <m:e>
                        <m:r>
                          <a:rPr lang="es-ES" sz="3600" b="0" i="1" kern="120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ℝ</m:t>
                        </m:r>
                      </m:e>
                      <m:sup>
                        <m:sSub>
                          <m:sSubPr>
                            <m:ctrlPr>
                              <a:rPr lang="es-ES" sz="3600" b="0" i="1" kern="120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3600" b="0" i="1" kern="120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𝑛</m:t>
                            </m:r>
                          </m:e>
                          <m:sub>
                            <m:r>
                              <a:rPr lang="es-ES" sz="3600" b="0" i="1" kern="120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𝑎𝑞</m:t>
                            </m:r>
                          </m:sub>
                        </m:sSub>
                      </m:sup>
                    </m:sSup>
                  </m:oMath>
                </m:oMathPara>
              </a14:m>
              <a:endParaRPr lang="es-ES" sz="3600"/>
            </a:p>
          </xdr:txBody>
        </xdr:sp>
      </mc:Choice>
      <mc:Fallback xmlns="">
        <xdr:sp macro="" textlink="">
          <xdr:nvSpPr>
            <xdr:cNvPr id="4" name="CuadroTexto 3">
              <a:extLst>
                <a:ext uri="{FF2B5EF4-FFF2-40B4-BE49-F238E27FC236}">
                  <a16:creationId xmlns:a16="http://schemas.microsoft.com/office/drawing/2014/main" id="{1F585B77-6309-4D03-8458-623DB544B6FD}"/>
                </a:ext>
              </a:extLst>
            </xdr:cNvPr>
            <xdr:cNvSpPr txBox="1"/>
          </xdr:nvSpPr>
          <xdr:spPr>
            <a:xfrm>
              <a:off x="10971069" y="3203864"/>
              <a:ext cx="3191934" cy="592917"/>
            </a:xfrm>
            <a:prstGeom prst="rect">
              <a:avLst/>
            </a:prstGeom>
            <a:solidFill>
              <a:schemeClr val="bg1"/>
            </a:solidFill>
            <a:ln>
              <a:solidFill>
                <a:sysClr val="windowText" lastClr="000000"/>
              </a:solidFill>
            </a:ln>
          </xdr:spPr>
          <xdr:txBody>
            <a:bodyPr wrap="square" lIns="0" tIns="0" rIns="0" bIns="0" rtlCol="0">
              <a:sp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es-ES" sz="3600" b="1" i="0" kern="12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𝐜</a:t>
              </a:r>
              <a:r>
                <a:rPr lang="es-ES" sz="3600" b="0" i="0" kern="12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_𝑖,</a:t>
              </a:r>
              <a:r>
                <a:rPr lang="es-ES" sz="3600" b="1" i="0" kern="12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𝐜</a:t>
              </a:r>
              <a:r>
                <a:rPr lang="es-ES" sz="3600" b="0" i="0" kern="12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_𝑖𝑛𝑓∈</a:t>
              </a:r>
              <a:r>
                <a:rPr lang="es-ES" sz="3600" b="0" i="0" kern="12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ℝ^(𝑛_𝑎𝑞 )</a:t>
              </a:r>
              <a:endParaRPr lang="es-ES" sz="3600"/>
            </a:p>
          </xdr:txBody>
        </xdr:sp>
      </mc:Fallback>
    </mc:AlternateContent>
    <xdr:clientData/>
  </xdr:twoCellAnchor>
  <xdr:twoCellAnchor>
    <xdr:from>
      <xdr:col>2</xdr:col>
      <xdr:colOff>268432</xdr:colOff>
      <xdr:row>20</xdr:row>
      <xdr:rowOff>138546</xdr:rowOff>
    </xdr:from>
    <xdr:to>
      <xdr:col>12</xdr:col>
      <xdr:colOff>217440</xdr:colOff>
      <xdr:row>26</xdr:row>
      <xdr:rowOff>36013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CuadroTexto 5">
              <a:extLst>
                <a:ext uri="{FF2B5EF4-FFF2-40B4-BE49-F238E27FC236}">
                  <a16:creationId xmlns:a16="http://schemas.microsoft.com/office/drawing/2014/main" id="{EB383414-0C20-441E-8CC3-C905E79D7595}"/>
                </a:ext>
              </a:extLst>
            </xdr:cNvPr>
            <xdr:cNvSpPr txBox="1"/>
          </xdr:nvSpPr>
          <xdr:spPr>
            <a:xfrm>
              <a:off x="1801503" y="3767117"/>
              <a:ext cx="7478294" cy="986039"/>
            </a:xfrm>
            <a:prstGeom prst="rect">
              <a:avLst/>
            </a:prstGeom>
            <a:solidFill>
              <a:schemeClr val="bg1"/>
            </a:solidFill>
            <a:ln>
              <a:solidFill>
                <a:sysClr val="windowText" lastClr="000000"/>
              </a:solidFill>
            </a:ln>
          </xdr:spPr>
          <xdr:txBody>
            <a:bodyPr wrap="square" lIns="0" tIns="0" rIns="0" bIns="0" rtlCol="0">
              <a:sp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14:m>
                <m:oMath xmlns:m="http://schemas.openxmlformats.org/officeDocument/2006/math">
                  <m:r>
                    <a:rPr lang="es-ES" sz="3600" b="1" i="0">
                      <a:latin typeface="Cambria Math" panose="02040503050406030204" pitchFamily="18" charset="0"/>
                    </a:rPr>
                    <m:t>𝚲</m:t>
                  </m:r>
                  <m:r>
                    <a:rPr lang="es-ES" sz="3600" b="0" i="1">
                      <a:latin typeface="Cambria Math" panose="02040503050406030204" pitchFamily="18" charset="0"/>
                    </a:rPr>
                    <m:t>=</m:t>
                  </m:r>
                  <m:d>
                    <m:dPr>
                      <m:ctrlPr>
                        <a:rPr lang="es-ES" sz="3600" b="0" i="1">
                          <a:latin typeface="Cambria Math" panose="02040503050406030204" pitchFamily="18" charset="0"/>
                        </a:rPr>
                      </m:ctrlPr>
                    </m:dPr>
                    <m:e>
                      <m:sSup>
                        <m:sSupPr>
                          <m:ctrlPr>
                            <a:rPr lang="es-ES" sz="3600" b="0" i="1">
                              <a:solidFill>
                                <a:schemeClr val="accent6">
                                  <a:lumMod val="60000"/>
                                  <a:lumOff val="40000"/>
                                </a:schemeClr>
                              </a:solidFill>
                              <a:latin typeface="Cambria Math" panose="02040503050406030204" pitchFamily="18" charset="0"/>
                            </a:rPr>
                          </m:ctrlPr>
                        </m:sSupPr>
                        <m:e>
                          <m:r>
                            <a:rPr lang="es-ES" sz="3600" b="1" i="0">
                              <a:solidFill>
                                <a:schemeClr val="accent6">
                                  <a:lumMod val="60000"/>
                                  <a:lumOff val="40000"/>
                                </a:schemeClr>
                              </a:solidFill>
                              <a:latin typeface="Cambria Math" panose="02040503050406030204" pitchFamily="18" charset="0"/>
                            </a:rPr>
                            <m:t>𝐀</m:t>
                          </m:r>
                        </m:e>
                        <m:sup>
                          <m:r>
                            <a:rPr lang="es-ES" sz="3600" b="0" i="1">
                              <a:solidFill>
                                <a:schemeClr val="accent6">
                                  <a:lumMod val="60000"/>
                                  <a:lumOff val="40000"/>
                                </a:schemeClr>
                              </a:solidFill>
                              <a:latin typeface="Cambria Math" panose="02040503050406030204" pitchFamily="18" charset="0"/>
                            </a:rPr>
                            <m:t>−1</m:t>
                          </m:r>
                        </m:sup>
                      </m:sSup>
                    </m:e>
                    <m:e>
                      <m:f>
                        <m:fPr>
                          <m:ctrlPr>
                            <a:rPr lang="fr-FR" sz="3600" b="0" i="1">
                              <a:solidFill>
                                <a:schemeClr val="accent4">
                                  <a:lumMod val="60000"/>
                                  <a:lumOff val="40000"/>
                                </a:schemeClr>
                              </a:solidFill>
                              <a:latin typeface="Cambria Math" panose="02040503050406030204" pitchFamily="18" charset="0"/>
                            </a:rPr>
                          </m:ctrlPr>
                        </m:fPr>
                        <m:num>
                          <m:r>
                            <m:rPr>
                              <m:sty m:val="p"/>
                            </m:rPr>
                            <a:rPr lang="fr-FR" sz="3600" b="0" i="0">
                              <a:solidFill>
                                <a:schemeClr val="accent4">
                                  <a:lumMod val="60000"/>
                                  <a:lumOff val="40000"/>
                                </a:schemeClr>
                              </a:solidFill>
                              <a:latin typeface="Cambria Math" panose="02040503050406030204" pitchFamily="18" charset="0"/>
                            </a:rPr>
                            <m:t>Δ</m:t>
                          </m:r>
                          <m:r>
                            <a:rPr lang="fr-FR" sz="3600" b="0" i="1">
                              <a:solidFill>
                                <a:schemeClr val="accent4">
                                  <a:lumMod val="60000"/>
                                  <a:lumOff val="40000"/>
                                </a:schemeClr>
                              </a:solidFill>
                              <a:latin typeface="Cambria Math" panose="02040503050406030204" pitchFamily="18" charset="0"/>
                            </a:rPr>
                            <m:t>𝑡</m:t>
                          </m:r>
                        </m:num>
                        <m:den>
                          <m:r>
                            <a:rPr lang="fr-FR" sz="3600" b="0" i="1">
                              <a:solidFill>
                                <a:schemeClr val="accent4">
                                  <a:lumMod val="60000"/>
                                  <a:lumOff val="40000"/>
                                </a:schemeClr>
                              </a:solidFill>
                              <a:latin typeface="Cambria Math" panose="02040503050406030204" pitchFamily="18" charset="0"/>
                            </a:rPr>
                            <m:t>𝜙</m:t>
                          </m:r>
                        </m:den>
                      </m:f>
                      <m:f>
                        <m:fPr>
                          <m:ctrlPr>
                            <a:rPr lang="es-ES" sz="3600" b="0" i="1">
                              <a:solidFill>
                                <a:schemeClr val="accent4">
                                  <a:lumMod val="60000"/>
                                  <a:lumOff val="40000"/>
                                </a:schemeClr>
                              </a:solidFill>
                              <a:latin typeface="Cambria Math" panose="02040503050406030204" pitchFamily="18" charset="0"/>
                            </a:rPr>
                          </m:ctrlPr>
                        </m:fPr>
                        <m:num>
                          <m:sSub>
                            <m:sSubPr>
                              <m:ctrlPr>
                                <a:rPr lang="es-ES" sz="3600" b="0" i="1">
                                  <a:solidFill>
                                    <a:schemeClr val="accent4">
                                      <a:lumMod val="60000"/>
                                      <a:lumOff val="40000"/>
                                    </a:schemeClr>
                                  </a:solidFill>
                                  <a:latin typeface="Cambria Math" panose="02040503050406030204" pitchFamily="18" charset="0"/>
                                </a:rPr>
                              </m:ctrlPr>
                            </m:sSubPr>
                            <m:e>
                              <m:r>
                                <a:rPr lang="es-ES" sz="3600" b="0" i="1">
                                  <a:solidFill>
                                    <a:schemeClr val="accent4">
                                      <a:lumMod val="60000"/>
                                      <a:lumOff val="40000"/>
                                    </a:schemeClr>
                                  </a:solidFill>
                                  <a:latin typeface="Cambria Math" panose="02040503050406030204" pitchFamily="18" charset="0"/>
                                </a:rPr>
                                <m:t>𝑞</m:t>
                              </m:r>
                            </m:e>
                            <m:sub>
                              <m:r>
                                <a:rPr lang="es-ES" sz="3600" b="0" i="1">
                                  <a:solidFill>
                                    <a:schemeClr val="accent4">
                                      <a:lumMod val="60000"/>
                                      <a:lumOff val="40000"/>
                                    </a:schemeClr>
                                  </a:solidFill>
                                  <a:latin typeface="Cambria Math" panose="02040503050406030204" pitchFamily="18" charset="0"/>
                                </a:rPr>
                                <m:t>𝑖𝑛𝑓</m:t>
                              </m:r>
                            </m:sub>
                          </m:sSub>
                        </m:num>
                        <m:den>
                          <m:r>
                            <m:rPr>
                              <m:sty m:val="p"/>
                            </m:rPr>
                            <a:rPr lang="es-ES" sz="3600" b="0" i="0">
                              <a:solidFill>
                                <a:schemeClr val="accent4">
                                  <a:lumMod val="60000"/>
                                  <a:lumOff val="40000"/>
                                </a:schemeClr>
                              </a:solidFill>
                              <a:latin typeface="Cambria Math" panose="02040503050406030204" pitchFamily="18" charset="0"/>
                            </a:rPr>
                            <m:t>Δ</m:t>
                          </m:r>
                          <m:r>
                            <a:rPr lang="es-ES" sz="3600" b="0" i="1">
                              <a:solidFill>
                                <a:schemeClr val="accent4">
                                  <a:lumMod val="60000"/>
                                  <a:lumOff val="40000"/>
                                </a:schemeClr>
                              </a:solidFill>
                              <a:latin typeface="Cambria Math" panose="02040503050406030204" pitchFamily="18" charset="0"/>
                            </a:rPr>
                            <m:t>𝑥</m:t>
                          </m:r>
                        </m:den>
                      </m:f>
                      <m:r>
                        <a:rPr lang="es-ES" sz="3600" b="1" i="0">
                          <a:solidFill>
                            <a:schemeClr val="accent4">
                              <a:lumMod val="60000"/>
                              <a:lumOff val="40000"/>
                            </a:schemeClr>
                          </a:solidFill>
                          <a:latin typeface="Cambria Math" panose="02040503050406030204" pitchFamily="18" charset="0"/>
                        </a:rPr>
                        <m:t>𝐚</m:t>
                      </m:r>
                    </m:e>
                  </m:d>
                </m:oMath>
              </a14:m>
              <a:r>
                <a:rPr lang="es-ES" sz="3600"/>
                <a:t>, where </a:t>
              </a:r>
              <a14:m>
                <m:oMath xmlns:m="http://schemas.openxmlformats.org/officeDocument/2006/math">
                  <m:sSub>
                    <m:sSubPr>
                      <m:ctrlPr>
                        <a:rPr lang="es-ES" sz="3600" b="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s-ES" sz="3600" b="0" i="1">
                          <a:latin typeface="Cambria Math" panose="02040503050406030204" pitchFamily="18" charset="0"/>
                        </a:rPr>
                        <m:t>𝑎</m:t>
                      </m:r>
                    </m:e>
                    <m:sub>
                      <m:r>
                        <a:rPr lang="es-ES" sz="3600" b="0" i="1">
                          <a:latin typeface="Cambria Math" panose="02040503050406030204" pitchFamily="18" charset="0"/>
                        </a:rPr>
                        <m:t>𝑖</m:t>
                      </m:r>
                    </m:sub>
                  </m:sSub>
                  <m:r>
                    <a:rPr lang="es-ES" sz="3600" b="0" i="1">
                      <a:latin typeface="Cambria Math" panose="02040503050406030204" pitchFamily="18" charset="0"/>
                    </a:rPr>
                    <m:t>=</m:t>
                  </m:r>
                  <m:sSubSup>
                    <m:sSubSupPr>
                      <m:ctrlPr>
                        <a:rPr lang="es-ES" sz="3600" b="0" i="1">
                          <a:latin typeface="Cambria Math" panose="02040503050406030204" pitchFamily="18" charset="0"/>
                        </a:rPr>
                      </m:ctrlPr>
                    </m:sSubSupPr>
                    <m:e>
                      <m:r>
                        <a:rPr lang="es-ES" sz="3600" b="0" i="1">
                          <a:latin typeface="Cambria Math" panose="02040503050406030204" pitchFamily="18" charset="0"/>
                        </a:rPr>
                        <m:t>𝐴</m:t>
                      </m:r>
                    </m:e>
                    <m:sub>
                      <m:r>
                        <a:rPr lang="es-ES" sz="3600" b="0" i="1">
                          <a:latin typeface="Cambria Math" panose="02040503050406030204" pitchFamily="18" charset="0"/>
                        </a:rPr>
                        <m:t>𝑖</m:t>
                      </m:r>
                      <m:r>
                        <a:rPr lang="es-ES" sz="3600" b="0" i="1">
                          <a:latin typeface="Cambria Math" panose="02040503050406030204" pitchFamily="18" charset="0"/>
                        </a:rPr>
                        <m:t>,1</m:t>
                      </m:r>
                    </m:sub>
                    <m:sup>
                      <m:r>
                        <a:rPr lang="es-ES" sz="3600" b="0" i="1">
                          <a:latin typeface="Cambria Math" panose="02040503050406030204" pitchFamily="18" charset="0"/>
                        </a:rPr>
                        <m:t>−1</m:t>
                      </m:r>
                    </m:sup>
                  </m:sSubSup>
                </m:oMath>
              </a14:m>
              <a:endParaRPr lang="es-ES" sz="3600"/>
            </a:p>
          </xdr:txBody>
        </xdr:sp>
      </mc:Choice>
      <mc:Fallback xmlns="">
        <xdr:sp macro="" textlink="">
          <xdr:nvSpPr>
            <xdr:cNvPr id="5" name="CuadroTexto 5">
              <a:extLst>
                <a:ext uri="{FF2B5EF4-FFF2-40B4-BE49-F238E27FC236}">
                  <a16:creationId xmlns:a16="http://schemas.microsoft.com/office/drawing/2014/main" id="{EB383414-0C20-441E-8CC3-C905E79D7595}"/>
                </a:ext>
              </a:extLst>
            </xdr:cNvPr>
            <xdr:cNvSpPr txBox="1"/>
          </xdr:nvSpPr>
          <xdr:spPr>
            <a:xfrm>
              <a:off x="1801503" y="3767117"/>
              <a:ext cx="7478294" cy="986039"/>
            </a:xfrm>
            <a:prstGeom prst="rect">
              <a:avLst/>
            </a:prstGeom>
            <a:solidFill>
              <a:schemeClr val="bg1"/>
            </a:solidFill>
            <a:ln>
              <a:solidFill>
                <a:sysClr val="windowText" lastClr="000000"/>
              </a:solidFill>
            </a:ln>
          </xdr:spPr>
          <xdr:txBody>
            <a:bodyPr wrap="square" lIns="0" tIns="0" rIns="0" bIns="0" rtlCol="0">
              <a:sp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es-ES" sz="3600" b="1" i="0">
                  <a:latin typeface="Cambria Math" panose="02040503050406030204" pitchFamily="18" charset="0"/>
                </a:rPr>
                <a:t>𝚲</a:t>
              </a:r>
              <a:r>
                <a:rPr lang="es-ES" sz="3600" b="0" i="0">
                  <a:latin typeface="Cambria Math" panose="02040503050406030204" pitchFamily="18" charset="0"/>
                </a:rPr>
                <a:t>=(</a:t>
              </a:r>
              <a:r>
                <a:rPr lang="es-ES" sz="3600" b="1" i="0">
                  <a:solidFill>
                    <a:schemeClr val="accent6">
                      <a:lumMod val="60000"/>
                      <a:lumOff val="40000"/>
                    </a:schemeClr>
                  </a:solidFill>
                  <a:latin typeface="Cambria Math" panose="02040503050406030204" pitchFamily="18" charset="0"/>
                </a:rPr>
                <a:t>𝐀</a:t>
              </a:r>
              <a:r>
                <a:rPr lang="es-ES" sz="3600" b="0" i="0">
                  <a:solidFill>
                    <a:schemeClr val="accent6">
                      <a:lumMod val="60000"/>
                      <a:lumOff val="40000"/>
                    </a:schemeClr>
                  </a:solidFill>
                  <a:latin typeface="Cambria Math" panose="02040503050406030204" pitchFamily="18" charset="0"/>
                </a:rPr>
                <a:t>^(−1)</a:t>
              </a:r>
              <a:r>
                <a:rPr lang="es-ES" sz="3600" b="0" i="0">
                  <a:solidFill>
                    <a:schemeClr val="accent4">
                      <a:lumMod val="60000"/>
                      <a:lumOff val="40000"/>
                    </a:schemeClr>
                  </a:solidFill>
                  <a:latin typeface="Cambria Math" panose="02040503050406030204" pitchFamily="18" charset="0"/>
                </a:rPr>
                <a:t>│</a:t>
              </a:r>
              <a:r>
                <a:rPr lang="fr-FR" sz="3600" b="0" i="0">
                  <a:solidFill>
                    <a:schemeClr val="accent4">
                      <a:lumMod val="60000"/>
                      <a:lumOff val="40000"/>
                    </a:schemeClr>
                  </a:solidFill>
                  <a:latin typeface="Cambria Math" panose="02040503050406030204" pitchFamily="18" charset="0"/>
                </a:rPr>
                <a:t>Δ𝑡/𝜙</a:t>
              </a:r>
              <a:r>
                <a:rPr lang="es-ES" sz="3600" b="0" i="0">
                  <a:solidFill>
                    <a:schemeClr val="accent4">
                      <a:lumMod val="60000"/>
                      <a:lumOff val="40000"/>
                    </a:schemeClr>
                  </a:solidFill>
                  <a:latin typeface="Cambria Math" panose="02040503050406030204" pitchFamily="18" charset="0"/>
                </a:rPr>
                <a:t>  𝑞_𝑖𝑛𝑓/Δ𝑥</a:t>
              </a:r>
              <a:r>
                <a:rPr lang="es-ES" sz="3600" b="1" i="0">
                  <a:solidFill>
                    <a:schemeClr val="accent4">
                      <a:lumMod val="60000"/>
                      <a:lumOff val="40000"/>
                    </a:schemeClr>
                  </a:solidFill>
                  <a:latin typeface="Cambria Math" panose="02040503050406030204" pitchFamily="18" charset="0"/>
                </a:rPr>
                <a:t> 𝐚</a:t>
              </a:r>
              <a:r>
                <a:rPr lang="es-ES" sz="3600" b="0" i="0">
                  <a:solidFill>
                    <a:schemeClr val="accent6">
                      <a:lumMod val="60000"/>
                      <a:lumOff val="40000"/>
                    </a:schemeClr>
                  </a:solidFill>
                  <a:latin typeface="Cambria Math" panose="02040503050406030204" pitchFamily="18" charset="0"/>
                </a:rPr>
                <a:t>)</a:t>
              </a:r>
              <a:r>
                <a:rPr lang="es-ES" sz="3600"/>
                <a:t>, where </a:t>
              </a:r>
              <a:r>
                <a:rPr lang="es-ES" sz="3600" b="0" i="0">
                  <a:latin typeface="Cambria Math" panose="02040503050406030204" pitchFamily="18" charset="0"/>
                </a:rPr>
                <a:t>𝑎_𝑖=𝐴_(𝑖,1)^(−1)</a:t>
              </a:r>
              <a:endParaRPr lang="es-ES" sz="3600"/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227647</xdr:colOff>
      <xdr:row>24</xdr:row>
      <xdr:rowOff>164782</xdr:rowOff>
    </xdr:from>
    <xdr:to>
      <xdr:col>7</xdr:col>
      <xdr:colOff>34291</xdr:colOff>
      <xdr:row>25</xdr:row>
      <xdr:rowOff>166421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CuadroTexto 5">
              <a:extLst>
                <a:ext uri="{FF2B5EF4-FFF2-40B4-BE49-F238E27FC236}">
                  <a16:creationId xmlns:a16="http://schemas.microsoft.com/office/drawing/2014/main" id="{B7A3488C-CF1D-CEED-6875-8A9198DE85AD}"/>
                </a:ext>
              </a:extLst>
            </xdr:cNvPr>
            <xdr:cNvSpPr txBox="1"/>
          </xdr:nvSpPr>
          <xdr:spPr>
            <a:xfrm>
              <a:off x="3123247" y="5232082"/>
              <a:ext cx="2092644" cy="182614"/>
            </a:xfrm>
            <a:prstGeom prst="rect">
              <a:avLst/>
            </a:prstGeom>
            <a:ln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wrap="square" lIns="0" tIns="0" rIns="0" bIns="0" rtlCol="0">
              <a:spAutoFit/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GB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𝑂</m:t>
                        </m:r>
                      </m:e>
                      <m:sub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2</m:t>
                        </m:r>
                        <m:d>
                          <m:dPr>
                            <m:ctrlPr>
                              <a:rPr lang="en-GB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n-GB" sz="1100" b="0" i="1">
                                <a:latin typeface="Cambria Math" panose="02040503050406030204" pitchFamily="18" charset="0"/>
                              </a:rPr>
                              <m:t>𝑎𝑞</m:t>
                            </m:r>
                          </m:e>
                        </m:d>
                      </m:sub>
                    </m:sSub>
                    <m:r>
                      <a:rPr lang="es-ES" sz="1100" b="0" i="1">
                        <a:latin typeface="Cambria Math" panose="02040503050406030204" pitchFamily="18" charset="0"/>
                      </a:rPr>
                      <m:t>+</m:t>
                    </m:r>
                    <m:r>
                      <m:rPr>
                        <m:sty m:val="p"/>
                      </m:rPr>
                      <a:rPr lang="en-GB" sz="1100" b="0" i="0">
                        <a:latin typeface="Cambria Math" panose="02040503050406030204" pitchFamily="18" charset="0"/>
                      </a:rPr>
                      <m:t>C</m:t>
                    </m:r>
                    <m:sSub>
                      <m:sSubPr>
                        <m:ctrlPr>
                          <a:rPr lang="en-GB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𝐻</m:t>
                        </m:r>
                      </m:e>
                      <m:sub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</m:sSub>
                    <m:sSub>
                      <m:sSubPr>
                        <m:ctrlPr>
                          <a:rPr lang="en-GB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𝑂</m:t>
                        </m:r>
                      </m:e>
                      <m:sub>
                        <m:d>
                          <m:dPr>
                            <m:ctrlPr>
                              <a:rPr lang="en-GB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n-GB" sz="1100" b="0" i="1">
                                <a:latin typeface="Cambria Math" panose="02040503050406030204" pitchFamily="18" charset="0"/>
                              </a:rPr>
                              <m:t>𝑎𝑞</m:t>
                            </m:r>
                          </m:e>
                        </m:d>
                      </m:sub>
                    </m:sSub>
                    <m:r>
                      <a:rPr lang="es-ES" sz="1100" b="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GB" sz="1100" b="0" i="1">
                        <a:latin typeface="Cambria Math" panose="02040503050406030204" pitchFamily="18" charset="0"/>
                      </a:rPr>
                      <m:t>𝐻𝐶</m:t>
                    </m:r>
                    <m:sSubSup>
                      <m:sSubSupPr>
                        <m:ctrlPr>
                          <a:rPr lang="en-GB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m:rPr>
                            <m:sty m:val="p"/>
                          </m:rPr>
                          <a:rPr lang="en-GB" sz="1100" b="0" i="0">
                            <a:latin typeface="Cambria Math" panose="02040503050406030204" pitchFamily="18" charset="0"/>
                          </a:rPr>
                          <m:t>O</m:t>
                        </m:r>
                      </m:e>
                      <m:sub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3</m:t>
                        </m:r>
                      </m:sub>
                      <m:sup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−</m:t>
                        </m:r>
                      </m:sup>
                    </m:sSubSup>
                    <m:r>
                      <a:rPr lang="en-GB" sz="1100" b="0" i="1">
                        <a:latin typeface="Cambria Math" panose="02040503050406030204" pitchFamily="18" charset="0"/>
                      </a:rPr>
                      <m:t>+</m:t>
                    </m:r>
                    <m:sSup>
                      <m:sSupPr>
                        <m:ctrlPr>
                          <a:rPr lang="en-GB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𝐻</m:t>
                        </m:r>
                      </m:e>
                      <m:sup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+</m:t>
                        </m:r>
                      </m:sup>
                    </m:sSup>
                  </m:oMath>
                </m:oMathPara>
              </a14:m>
              <a:endParaRPr lang="es-ES" sz="1100" b="0"/>
            </a:p>
          </xdr:txBody>
        </xdr:sp>
      </mc:Choice>
      <mc:Fallback xmlns="">
        <xdr:sp macro="" textlink="">
          <xdr:nvSpPr>
            <xdr:cNvPr id="4" name="CuadroTexto 5">
              <a:extLst>
                <a:ext uri="{FF2B5EF4-FFF2-40B4-BE49-F238E27FC236}">
                  <a16:creationId xmlns:a16="http://schemas.microsoft.com/office/drawing/2014/main" id="{B7A3488C-CF1D-CEED-6875-8A9198DE85AD}"/>
                </a:ext>
              </a:extLst>
            </xdr:cNvPr>
            <xdr:cNvSpPr txBox="1"/>
          </xdr:nvSpPr>
          <xdr:spPr>
            <a:xfrm>
              <a:off x="3123247" y="5232082"/>
              <a:ext cx="2092644" cy="182614"/>
            </a:xfrm>
            <a:prstGeom prst="rect">
              <a:avLst/>
            </a:prstGeom>
            <a:ln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wrap="square" lIns="0" tIns="0" rIns="0" bIns="0" rtlCol="0">
              <a:spAutoFit/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en-GB" sz="1100" b="0" i="0">
                  <a:latin typeface="Cambria Math" panose="02040503050406030204" pitchFamily="18" charset="0"/>
                </a:rPr>
                <a:t>𝑂_2(𝑎𝑞) </a:t>
              </a:r>
              <a:r>
                <a:rPr lang="es-ES" sz="1100" b="0" i="0">
                  <a:latin typeface="Cambria Math" panose="02040503050406030204" pitchFamily="18" charset="0"/>
                </a:rPr>
                <a:t>+</a:t>
              </a:r>
              <a:r>
                <a:rPr lang="en-GB" sz="1100" b="0" i="0">
                  <a:latin typeface="Cambria Math" panose="02040503050406030204" pitchFamily="18" charset="0"/>
                </a:rPr>
                <a:t>C𝐻_2 𝑂_((𝑎𝑞) )</a:t>
              </a:r>
              <a:r>
                <a:rPr lang="es-ES" sz="1100" b="0" i="0">
                  <a:latin typeface="Cambria Math" panose="02040503050406030204" pitchFamily="18" charset="0"/>
                </a:rPr>
                <a:t>=</a:t>
              </a:r>
              <a:r>
                <a:rPr lang="en-GB" sz="1100" b="0" i="0">
                  <a:latin typeface="Cambria Math" panose="02040503050406030204" pitchFamily="18" charset="0"/>
                </a:rPr>
                <a:t>𝐻𝐶O_3^−+𝐻^+</a:t>
              </a:r>
              <a:endParaRPr lang="es-ES" sz="1100" b="0"/>
            </a:p>
          </xdr:txBody>
        </xdr:sp>
      </mc:Fallback>
    </mc:AlternateContent>
    <xdr:clientData/>
  </xdr:twoCellAnchor>
  <xdr:twoCellAnchor>
    <xdr:from>
      <xdr:col>3</xdr:col>
      <xdr:colOff>60007</xdr:colOff>
      <xdr:row>26</xdr:row>
      <xdr:rowOff>9524</xdr:rowOff>
    </xdr:from>
    <xdr:to>
      <xdr:col>8</xdr:col>
      <xdr:colOff>709778</xdr:colOff>
      <xdr:row>27</xdr:row>
      <xdr:rowOff>11163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CuadroTexto 1">
              <a:extLst>
                <a:ext uri="{FF2B5EF4-FFF2-40B4-BE49-F238E27FC236}">
                  <a16:creationId xmlns:a16="http://schemas.microsoft.com/office/drawing/2014/main" id="{53A42CE9-B3C0-F0A3-6CA1-3566D022AA3C}"/>
                </a:ext>
              </a:extLst>
            </xdr:cNvPr>
            <xdr:cNvSpPr txBox="1"/>
          </xdr:nvSpPr>
          <xdr:spPr>
            <a:xfrm>
              <a:off x="2955607" y="5438774"/>
              <a:ext cx="3697771" cy="182614"/>
            </a:xfrm>
            <a:prstGeom prst="rect">
              <a:avLst/>
            </a:prstGeom>
            <a:ln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wrap="square" lIns="0" tIns="0" rIns="0" bIns="0" rtlCol="0">
              <a:spAutoFit/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GB" sz="1100" b="0" i="1">
                        <a:latin typeface="Cambria Math" panose="02040503050406030204" pitchFamily="18" charset="0"/>
                      </a:rPr>
                      <m:t>0.8</m:t>
                    </m:r>
                    <m:r>
                      <a:rPr lang="en-GB" sz="1100" b="0" i="1">
                        <a:latin typeface="Cambria Math" panose="02040503050406030204" pitchFamily="18" charset="0"/>
                      </a:rPr>
                      <m:t>𝑁</m:t>
                    </m:r>
                    <m:sSubSup>
                      <m:sSubSupPr>
                        <m:ctrlPr>
                          <a:rPr lang="en-GB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𝑂</m:t>
                        </m:r>
                      </m:e>
                      <m:sub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3</m:t>
                        </m:r>
                      </m:sub>
                      <m:sup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−</m:t>
                        </m:r>
                      </m:sup>
                    </m:sSubSup>
                    <m:r>
                      <a:rPr lang="es-ES" sz="1100" b="0" i="1">
                        <a:latin typeface="Cambria Math" panose="02040503050406030204" pitchFamily="18" charset="0"/>
                      </a:rPr>
                      <m:t>+</m:t>
                    </m:r>
                    <m:r>
                      <m:rPr>
                        <m:sty m:val="p"/>
                      </m:rPr>
                      <a:rPr lang="en-GB" sz="1100" b="0" i="0">
                        <a:latin typeface="Cambria Math" panose="02040503050406030204" pitchFamily="18" charset="0"/>
                      </a:rPr>
                      <m:t>C</m:t>
                    </m:r>
                    <m:sSub>
                      <m:sSubPr>
                        <m:ctrlPr>
                          <a:rPr lang="en-GB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𝐻</m:t>
                        </m:r>
                      </m:e>
                      <m:sub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</m:sSub>
                    <m:sSub>
                      <m:sSubPr>
                        <m:ctrlPr>
                          <a:rPr lang="en-GB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𝑂</m:t>
                        </m:r>
                      </m:e>
                      <m:sub>
                        <m:d>
                          <m:dPr>
                            <m:ctrlPr>
                              <a:rPr lang="en-GB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n-GB" sz="1100" b="0" i="1">
                                <a:latin typeface="Cambria Math" panose="02040503050406030204" pitchFamily="18" charset="0"/>
                              </a:rPr>
                              <m:t>𝑎𝑞</m:t>
                            </m:r>
                          </m:e>
                        </m:d>
                      </m:sub>
                    </m:sSub>
                    <m:r>
                      <a:rPr lang="es-ES" sz="1100" b="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GB" sz="1100" b="0" i="1">
                        <a:latin typeface="Cambria Math" panose="02040503050406030204" pitchFamily="18" charset="0"/>
                      </a:rPr>
                      <m:t>0.4</m:t>
                    </m:r>
                    <m:sSub>
                      <m:sSubPr>
                        <m:ctrlPr>
                          <a:rPr lang="en-GB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𝑁</m:t>
                        </m:r>
                      </m:e>
                      <m:sub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2</m:t>
                        </m:r>
                        <m:d>
                          <m:dPr>
                            <m:ctrlPr>
                              <a:rPr lang="en-GB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s-ES" sz="1100" b="0" i="1">
                                <a:latin typeface="Cambria Math" panose="02040503050406030204" pitchFamily="18" charset="0"/>
                              </a:rPr>
                              <m:t>𝑎𝑞</m:t>
                            </m:r>
                          </m:e>
                        </m:d>
                      </m:sub>
                    </m:sSub>
                    <m:r>
                      <a:rPr lang="en-GB" sz="1100" b="0" i="1">
                        <a:latin typeface="Cambria Math" panose="02040503050406030204" pitchFamily="18" charset="0"/>
                      </a:rPr>
                      <m:t>+</m:t>
                    </m:r>
                    <m:r>
                      <a:rPr lang="en-GB" sz="1100" b="0" i="1">
                        <a:latin typeface="Cambria Math" panose="02040503050406030204" pitchFamily="18" charset="0"/>
                      </a:rPr>
                      <m:t>𝐻𝐶</m:t>
                    </m:r>
                    <m:sSubSup>
                      <m:sSubSupPr>
                        <m:ctrlPr>
                          <a:rPr lang="en-GB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m:rPr>
                            <m:sty m:val="p"/>
                          </m:rPr>
                          <a:rPr lang="en-GB" sz="1100" b="0" i="0">
                            <a:latin typeface="Cambria Math" panose="02040503050406030204" pitchFamily="18" charset="0"/>
                          </a:rPr>
                          <m:t>O</m:t>
                        </m:r>
                      </m:e>
                      <m:sub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3</m:t>
                        </m:r>
                      </m:sub>
                      <m:sup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−</m:t>
                        </m:r>
                      </m:sup>
                    </m:sSubSup>
                    <m:r>
                      <a:rPr lang="en-GB" sz="1100" b="0" i="1">
                        <a:latin typeface="Cambria Math" panose="02040503050406030204" pitchFamily="18" charset="0"/>
                      </a:rPr>
                      <m:t>+0.4</m:t>
                    </m:r>
                    <m:sSub>
                      <m:sSubPr>
                        <m:ctrlPr>
                          <a:rPr lang="en-GB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𝐻</m:t>
                        </m:r>
                      </m:e>
                      <m:sub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</m:sSub>
                    <m:r>
                      <a:rPr lang="en-GB" sz="1100" b="0" i="1">
                        <a:latin typeface="Cambria Math" panose="02040503050406030204" pitchFamily="18" charset="0"/>
                      </a:rPr>
                      <m:t>𝑂</m:t>
                    </m:r>
                    <m:r>
                      <a:rPr lang="en-GB" sz="1100" b="0" i="1">
                        <a:latin typeface="Cambria Math" panose="02040503050406030204" pitchFamily="18" charset="0"/>
                      </a:rPr>
                      <m:t>+0.2</m:t>
                    </m:r>
                    <m:sSup>
                      <m:sSupPr>
                        <m:ctrlPr>
                          <a:rPr lang="en-GB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𝐻</m:t>
                        </m:r>
                      </m:e>
                      <m:sup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+</m:t>
                        </m:r>
                      </m:sup>
                    </m:sSup>
                  </m:oMath>
                </m:oMathPara>
              </a14:m>
              <a:endParaRPr lang="es-ES" sz="1100" b="0"/>
            </a:p>
          </xdr:txBody>
        </xdr:sp>
      </mc:Choice>
      <mc:Fallback xmlns="">
        <xdr:sp macro="" textlink="">
          <xdr:nvSpPr>
            <xdr:cNvPr id="5" name="CuadroTexto 1">
              <a:extLst>
                <a:ext uri="{FF2B5EF4-FFF2-40B4-BE49-F238E27FC236}">
                  <a16:creationId xmlns:a16="http://schemas.microsoft.com/office/drawing/2014/main" id="{53A42CE9-B3C0-F0A3-6CA1-3566D022AA3C}"/>
                </a:ext>
              </a:extLst>
            </xdr:cNvPr>
            <xdr:cNvSpPr txBox="1"/>
          </xdr:nvSpPr>
          <xdr:spPr>
            <a:xfrm>
              <a:off x="2955607" y="5438774"/>
              <a:ext cx="3697771" cy="182614"/>
            </a:xfrm>
            <a:prstGeom prst="rect">
              <a:avLst/>
            </a:prstGeom>
            <a:ln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wrap="square" lIns="0" tIns="0" rIns="0" bIns="0" rtlCol="0">
              <a:spAutoFit/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en-GB" sz="1100" b="0" i="0">
                  <a:latin typeface="Cambria Math" panose="02040503050406030204" pitchFamily="18" charset="0"/>
                </a:rPr>
                <a:t>0.8𝑁𝑂_3^−</a:t>
              </a:r>
              <a:r>
                <a:rPr lang="es-ES" sz="1100" b="0" i="0">
                  <a:latin typeface="Cambria Math" panose="02040503050406030204" pitchFamily="18" charset="0"/>
                </a:rPr>
                <a:t>+</a:t>
              </a:r>
              <a:r>
                <a:rPr lang="en-GB" sz="1100" b="0" i="0">
                  <a:latin typeface="Cambria Math" panose="02040503050406030204" pitchFamily="18" charset="0"/>
                </a:rPr>
                <a:t>C𝐻_2 𝑂_((𝑎𝑞) )</a:t>
              </a:r>
              <a:r>
                <a:rPr lang="es-ES" sz="1100" b="0" i="0">
                  <a:latin typeface="Cambria Math" panose="02040503050406030204" pitchFamily="18" charset="0"/>
                </a:rPr>
                <a:t>=</a:t>
              </a:r>
              <a:r>
                <a:rPr lang="en-GB" sz="1100" b="0" i="0">
                  <a:latin typeface="Cambria Math" panose="02040503050406030204" pitchFamily="18" charset="0"/>
                </a:rPr>
                <a:t>0.4𝑁_2(</a:t>
              </a:r>
              <a:r>
                <a:rPr lang="es-ES" sz="1100" b="0" i="0">
                  <a:latin typeface="Cambria Math" panose="02040503050406030204" pitchFamily="18" charset="0"/>
                </a:rPr>
                <a:t>𝑎𝑞) </a:t>
              </a:r>
              <a:r>
                <a:rPr lang="en-GB" sz="1100" b="0" i="0">
                  <a:latin typeface="Cambria Math" panose="02040503050406030204" pitchFamily="18" charset="0"/>
                </a:rPr>
                <a:t>+𝐻𝐶O_3^−+0.4𝐻_2 𝑂+0.2𝐻^+</a:t>
              </a:r>
              <a:endParaRPr lang="es-ES" sz="1100" b="0"/>
            </a:p>
          </xdr:txBody>
        </xdr:sp>
      </mc:Fallback>
    </mc:AlternateContent>
    <xdr:clientData/>
  </xdr:twoCellAnchor>
  <xdr:twoCellAnchor>
    <xdr:from>
      <xdr:col>2</xdr:col>
      <xdr:colOff>580072</xdr:colOff>
      <xdr:row>23</xdr:row>
      <xdr:rowOff>27516</xdr:rowOff>
    </xdr:from>
    <xdr:to>
      <xdr:col>4</xdr:col>
      <xdr:colOff>409896</xdr:colOff>
      <xdr:row>24</xdr:row>
      <xdr:rowOff>28575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CuadroTexto 2">
              <a:extLst>
                <a:ext uri="{FF2B5EF4-FFF2-40B4-BE49-F238E27FC236}">
                  <a16:creationId xmlns:a16="http://schemas.microsoft.com/office/drawing/2014/main" id="{031DFB0C-AFCC-1ECF-CDF0-A88F52F0A81D}"/>
                </a:ext>
              </a:extLst>
            </xdr:cNvPr>
            <xdr:cNvSpPr txBox="1"/>
          </xdr:nvSpPr>
          <xdr:spPr>
            <a:xfrm>
              <a:off x="3008947" y="4370916"/>
              <a:ext cx="1563374" cy="182034"/>
            </a:xfrm>
            <a:prstGeom prst="rect">
              <a:avLst/>
            </a:prstGeom>
            <a:ln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wrap="square" lIns="0" tIns="0" rIns="0" bIns="0" rtlCol="0">
              <a:noAutofit/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GB" sz="1100" i="1">
                        <a:latin typeface="Cambria Math" panose="02040503050406030204" pitchFamily="18" charset="0"/>
                      </a:rPr>
                      <m:t>𝐻𝐶</m:t>
                    </m:r>
                    <m:sSubSup>
                      <m:sSubSupPr>
                        <m:ctrlPr>
                          <a:rPr lang="en-GB" sz="110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m:rPr>
                            <m:sty m:val="p"/>
                          </m:rPr>
                          <a:rPr lang="en-GB" sz="1100">
                            <a:latin typeface="Cambria Math" panose="02040503050406030204" pitchFamily="18" charset="0"/>
                          </a:rPr>
                          <m:t>O</m:t>
                        </m:r>
                      </m:e>
                      <m:sub>
                        <m:r>
                          <a:rPr lang="en-GB" sz="1100" i="1">
                            <a:latin typeface="Cambria Math" panose="02040503050406030204" pitchFamily="18" charset="0"/>
                          </a:rPr>
                          <m:t>3</m:t>
                        </m:r>
                      </m:sub>
                      <m:sup>
                        <m:r>
                          <a:rPr lang="en-GB" sz="1100" i="1">
                            <a:latin typeface="Cambria Math" panose="02040503050406030204" pitchFamily="18" charset="0"/>
                          </a:rPr>
                          <m:t>−</m:t>
                        </m:r>
                      </m:sup>
                    </m:sSubSup>
                    <m:r>
                      <a:rPr lang="es-ES" sz="1100" b="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GB" sz="1100" b="0" i="1">
                        <a:latin typeface="Cambria Math" panose="02040503050406030204" pitchFamily="18" charset="0"/>
                      </a:rPr>
                      <m:t>𝐶</m:t>
                    </m:r>
                    <m:sSubSup>
                      <m:sSubSupPr>
                        <m:ctrlPr>
                          <a:rPr lang="en-GB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𝑂</m:t>
                        </m:r>
                      </m:e>
                      <m:sub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3</m:t>
                        </m:r>
                      </m:sub>
                      <m:sup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−2</m:t>
                        </m:r>
                      </m:sup>
                    </m:sSubSup>
                    <m:r>
                      <a:rPr lang="en-GB" sz="1100" b="0" i="1">
                        <a:latin typeface="Cambria Math" panose="02040503050406030204" pitchFamily="18" charset="0"/>
                      </a:rPr>
                      <m:t>+</m:t>
                    </m:r>
                    <m:sSup>
                      <m:sSupPr>
                        <m:ctrlPr>
                          <a:rPr lang="en-GB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𝐻</m:t>
                        </m:r>
                      </m:e>
                      <m:sup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+</m:t>
                        </m:r>
                      </m:sup>
                    </m:sSup>
                  </m:oMath>
                </m:oMathPara>
              </a14:m>
              <a:endParaRPr lang="es-ES" sz="1100" b="0"/>
            </a:p>
          </xdr:txBody>
        </xdr:sp>
      </mc:Choice>
      <mc:Fallback xmlns="">
        <xdr:sp macro="" textlink="">
          <xdr:nvSpPr>
            <xdr:cNvPr id="6" name="CuadroTexto 2">
              <a:extLst>
                <a:ext uri="{FF2B5EF4-FFF2-40B4-BE49-F238E27FC236}">
                  <a16:creationId xmlns:a16="http://schemas.microsoft.com/office/drawing/2014/main" id="{031DFB0C-AFCC-1ECF-CDF0-A88F52F0A81D}"/>
                </a:ext>
              </a:extLst>
            </xdr:cNvPr>
            <xdr:cNvSpPr txBox="1"/>
          </xdr:nvSpPr>
          <xdr:spPr>
            <a:xfrm>
              <a:off x="3008947" y="4370916"/>
              <a:ext cx="1563374" cy="182034"/>
            </a:xfrm>
            <a:prstGeom prst="rect">
              <a:avLst/>
            </a:prstGeom>
            <a:ln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wrap="square" lIns="0" tIns="0" rIns="0" bIns="0" rtlCol="0">
              <a:noAutofit/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en-GB" sz="1100" i="0">
                  <a:latin typeface="Cambria Math" panose="02040503050406030204" pitchFamily="18" charset="0"/>
                </a:rPr>
                <a:t>𝐻𝐶O_3^−</a:t>
              </a:r>
              <a:r>
                <a:rPr lang="es-ES" sz="1100" b="0" i="0">
                  <a:latin typeface="Cambria Math" panose="02040503050406030204" pitchFamily="18" charset="0"/>
                </a:rPr>
                <a:t>=</a:t>
              </a:r>
              <a:r>
                <a:rPr lang="en-GB" sz="1100" b="0" i="0">
                  <a:latin typeface="Cambria Math" panose="02040503050406030204" pitchFamily="18" charset="0"/>
                </a:rPr>
                <a:t>𝐶𝑂_3^(−2)+𝐻^+</a:t>
              </a:r>
              <a:endParaRPr lang="es-ES" sz="1100" b="0"/>
            </a:p>
          </xdr:txBody>
        </xdr:sp>
      </mc:Fallback>
    </mc:AlternateContent>
    <xdr:clientData/>
  </xdr:twoCellAnchor>
  <xdr:twoCellAnchor>
    <xdr:from>
      <xdr:col>2</xdr:col>
      <xdr:colOff>576944</xdr:colOff>
      <xdr:row>22</xdr:row>
      <xdr:rowOff>5922</xdr:rowOff>
    </xdr:from>
    <xdr:to>
      <xdr:col>4</xdr:col>
      <xdr:colOff>183826</xdr:colOff>
      <xdr:row>23</xdr:row>
      <xdr:rowOff>0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CuadroTexto 2">
              <a:extLst>
                <a:ext uri="{FF2B5EF4-FFF2-40B4-BE49-F238E27FC236}">
                  <a16:creationId xmlns:a16="http://schemas.microsoft.com/office/drawing/2014/main" id="{D1339881-C532-49F5-BC69-327CDBAFDFD2}"/>
                </a:ext>
              </a:extLst>
            </xdr:cNvPr>
            <xdr:cNvSpPr txBox="1"/>
          </xdr:nvSpPr>
          <xdr:spPr>
            <a:xfrm>
              <a:off x="2710544" y="4476322"/>
              <a:ext cx="1130882" cy="188612"/>
            </a:xfrm>
            <a:prstGeom prst="rect">
              <a:avLst/>
            </a:prstGeom>
            <a:ln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wrap="square" lIns="0" tIns="0" rIns="0" bIns="0" rtlCol="0">
              <a:spAutoFit/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E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ES" sz="1100" b="0" i="1">
                            <a:latin typeface="Cambria Math" panose="02040503050406030204" pitchFamily="18" charset="0"/>
                          </a:rPr>
                          <m:t>𝑂</m:t>
                        </m:r>
                      </m:e>
                      <m:sub>
                        <m:r>
                          <a:rPr lang="es-ES" sz="1100" b="0" i="1">
                            <a:latin typeface="Cambria Math" panose="02040503050406030204" pitchFamily="18" charset="0"/>
                          </a:rPr>
                          <m:t>2</m:t>
                        </m:r>
                        <m:d>
                          <m:dPr>
                            <m:ctrlPr>
                              <a:rPr lang="es-ES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s-ES" sz="1100" b="0" i="1">
                                <a:latin typeface="Cambria Math" panose="02040503050406030204" pitchFamily="18" charset="0"/>
                              </a:rPr>
                              <m:t>𝑎𝑞</m:t>
                            </m:r>
                          </m:e>
                        </m:d>
                      </m:sub>
                    </m:sSub>
                    <m:r>
                      <a:rPr lang="es-ES" sz="1100" b="0" i="1"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es-E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ES" sz="1100" b="0" i="1">
                            <a:latin typeface="Cambria Math" panose="02040503050406030204" pitchFamily="18" charset="0"/>
                          </a:rPr>
                          <m:t>𝑂</m:t>
                        </m:r>
                      </m:e>
                      <m:sub>
                        <m:r>
                          <a:rPr lang="es-ES" sz="1100" b="0" i="1">
                            <a:latin typeface="Cambria Math" panose="02040503050406030204" pitchFamily="18" charset="0"/>
                          </a:rPr>
                          <m:t>2</m:t>
                        </m:r>
                        <m:d>
                          <m:dPr>
                            <m:ctrlPr>
                              <a:rPr lang="es-ES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s-ES" sz="1100" b="0" i="1">
                                <a:latin typeface="Cambria Math" panose="02040503050406030204" pitchFamily="18" charset="0"/>
                              </a:rPr>
                              <m:t>𝑔</m:t>
                            </m:r>
                          </m:e>
                        </m:d>
                      </m:sub>
                    </m:sSub>
                  </m:oMath>
                </m:oMathPara>
              </a14:m>
              <a:endParaRPr lang="es-ES" sz="1100" b="0"/>
            </a:p>
          </xdr:txBody>
        </xdr:sp>
      </mc:Choice>
      <mc:Fallback xmlns="">
        <xdr:sp macro="" textlink="">
          <xdr:nvSpPr>
            <xdr:cNvPr id="7" name="CuadroTexto 2">
              <a:extLst>
                <a:ext uri="{FF2B5EF4-FFF2-40B4-BE49-F238E27FC236}">
                  <a16:creationId xmlns:a16="http://schemas.microsoft.com/office/drawing/2014/main" id="{D1339881-C532-49F5-BC69-327CDBAFDFD2}"/>
                </a:ext>
              </a:extLst>
            </xdr:cNvPr>
            <xdr:cNvSpPr txBox="1"/>
          </xdr:nvSpPr>
          <xdr:spPr>
            <a:xfrm>
              <a:off x="2710544" y="4476322"/>
              <a:ext cx="1130882" cy="188612"/>
            </a:xfrm>
            <a:prstGeom prst="rect">
              <a:avLst/>
            </a:prstGeom>
            <a:ln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wrap="square" lIns="0" tIns="0" rIns="0" bIns="0" rtlCol="0">
              <a:spAutoFit/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es-ES" sz="1100" b="0" i="0">
                  <a:latin typeface="Cambria Math" panose="02040503050406030204" pitchFamily="18" charset="0"/>
                </a:rPr>
                <a:t>𝑂_2(𝑎𝑞) =𝑂_2(𝑔) </a:t>
              </a:r>
              <a:endParaRPr lang="es-ES" sz="1100" b="0"/>
            </a:p>
          </xdr:txBody>
        </xdr:sp>
      </mc:Fallback>
    </mc:AlternateContent>
    <xdr:clientData/>
  </xdr:twoCellAnchor>
  <xdr:twoCellAnchor>
    <xdr:from>
      <xdr:col>2</xdr:col>
      <xdr:colOff>249288</xdr:colOff>
      <xdr:row>20</xdr:row>
      <xdr:rowOff>172188</xdr:rowOff>
    </xdr:from>
    <xdr:to>
      <xdr:col>4</xdr:col>
      <xdr:colOff>753427</xdr:colOff>
      <xdr:row>21</xdr:row>
      <xdr:rowOff>174534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0" name="CuadroTexto 2">
              <a:extLst>
                <a:ext uri="{FF2B5EF4-FFF2-40B4-BE49-F238E27FC236}">
                  <a16:creationId xmlns:a16="http://schemas.microsoft.com/office/drawing/2014/main" id="{02E9E430-EF6E-42B4-83B3-1D71727EBE91}"/>
                </a:ext>
              </a:extLst>
            </xdr:cNvPr>
            <xdr:cNvSpPr txBox="1"/>
          </xdr:nvSpPr>
          <xdr:spPr>
            <a:xfrm>
              <a:off x="2382888" y="4270055"/>
              <a:ext cx="2028139" cy="188612"/>
            </a:xfrm>
            <a:prstGeom prst="rect">
              <a:avLst/>
            </a:prstGeom>
            <a:ln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wrap="square" lIns="0" tIns="0" rIns="0" bIns="0" rtlCol="0">
              <a:spAutoFit/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GB" sz="1100" b="0" i="1" kern="1200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GB" sz="1100" b="0" i="1" kern="1200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𝐻</m:t>
                        </m:r>
                      </m:e>
                      <m:sup>
                        <m:r>
                          <a:rPr lang="en-GB" sz="1100" b="0" i="1" kern="1200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</m:sup>
                    </m:sSup>
                    <m:r>
                      <a:rPr lang="es-ES" sz="1100" b="0" i="1" kern="1200">
                        <a:solidFill>
                          <a:schemeClr val="dk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+</m:t>
                    </m:r>
                    <m:r>
                      <a:rPr lang="es-ES" sz="1100" b="0" i="1" kern="1200">
                        <a:solidFill>
                          <a:schemeClr val="dk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𝐻𝐶</m:t>
                    </m:r>
                    <m:sSubSup>
                      <m:sSubSupPr>
                        <m:ctrlPr>
                          <a:rPr lang="es-ES" sz="1100" b="0" i="1" kern="1200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SupPr>
                      <m:e>
                        <m:r>
                          <a:rPr lang="es-ES" sz="1100" b="0" i="1" kern="1200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𝑂</m:t>
                        </m:r>
                      </m:e>
                      <m:sub>
                        <m:r>
                          <a:rPr lang="es-ES" sz="1100" b="0" i="1" kern="1200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3</m:t>
                        </m:r>
                      </m:sub>
                      <m:sup>
                        <m:r>
                          <a:rPr lang="es-ES" sz="1100" b="0" i="1" kern="1200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−</m:t>
                        </m:r>
                      </m:sup>
                    </m:sSubSup>
                    <m:r>
                      <a:rPr lang="es-ES" sz="1100" b="0" i="1"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es-E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ES" sz="1100" b="0" i="1">
                            <a:latin typeface="Cambria Math" panose="02040503050406030204" pitchFamily="18" charset="0"/>
                          </a:rPr>
                          <m:t>𝐻</m:t>
                        </m:r>
                      </m:e>
                      <m:sub>
                        <m:r>
                          <a:rPr lang="es-ES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</m:sSub>
                    <m:r>
                      <a:rPr lang="es-ES" sz="1100" b="0" i="1">
                        <a:latin typeface="Cambria Math" panose="02040503050406030204" pitchFamily="18" charset="0"/>
                      </a:rPr>
                      <m:t>𝑂</m:t>
                    </m:r>
                    <m:r>
                      <a:rPr lang="es-ES" sz="1100" b="0" i="1">
                        <a:latin typeface="Cambria Math" panose="02040503050406030204" pitchFamily="18" charset="0"/>
                      </a:rPr>
                      <m:t>+</m:t>
                    </m:r>
                    <m:r>
                      <a:rPr lang="es-ES" sz="1100" b="0" i="1">
                        <a:latin typeface="Cambria Math" panose="02040503050406030204" pitchFamily="18" charset="0"/>
                      </a:rPr>
                      <m:t>𝐶</m:t>
                    </m:r>
                    <m:sSub>
                      <m:sSubPr>
                        <m:ctrlPr>
                          <a:rPr lang="es-E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ES" sz="1100" b="0" i="1">
                            <a:latin typeface="Cambria Math" panose="02040503050406030204" pitchFamily="18" charset="0"/>
                          </a:rPr>
                          <m:t>𝑂</m:t>
                        </m:r>
                      </m:e>
                      <m:sub>
                        <m:r>
                          <a:rPr lang="es-ES" sz="1100" b="0" i="1">
                            <a:latin typeface="Cambria Math" panose="02040503050406030204" pitchFamily="18" charset="0"/>
                          </a:rPr>
                          <m:t>2</m:t>
                        </m:r>
                        <m:d>
                          <m:dPr>
                            <m:ctrlPr>
                              <a:rPr lang="es-ES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s-ES" sz="1100" b="0" i="1">
                                <a:latin typeface="Cambria Math" panose="02040503050406030204" pitchFamily="18" charset="0"/>
                              </a:rPr>
                              <m:t>𝑔</m:t>
                            </m:r>
                          </m:e>
                        </m:d>
                      </m:sub>
                    </m:sSub>
                  </m:oMath>
                </m:oMathPara>
              </a14:m>
              <a:endParaRPr lang="es-ES" sz="1100" b="0"/>
            </a:p>
          </xdr:txBody>
        </xdr:sp>
      </mc:Choice>
      <mc:Fallback xmlns="">
        <xdr:sp macro="" textlink="">
          <xdr:nvSpPr>
            <xdr:cNvPr id="20" name="CuadroTexto 2">
              <a:extLst>
                <a:ext uri="{FF2B5EF4-FFF2-40B4-BE49-F238E27FC236}">
                  <a16:creationId xmlns:a16="http://schemas.microsoft.com/office/drawing/2014/main" id="{02E9E430-EF6E-42B4-83B3-1D71727EBE91}"/>
                </a:ext>
              </a:extLst>
            </xdr:cNvPr>
            <xdr:cNvSpPr txBox="1"/>
          </xdr:nvSpPr>
          <xdr:spPr>
            <a:xfrm>
              <a:off x="2382888" y="4270055"/>
              <a:ext cx="2028139" cy="188612"/>
            </a:xfrm>
            <a:prstGeom prst="rect">
              <a:avLst/>
            </a:prstGeom>
            <a:ln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wrap="square" lIns="0" tIns="0" rIns="0" bIns="0" rtlCol="0">
              <a:spAutoFit/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en-GB" sz="1100" b="0" i="0" kern="12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𝐻^+</a:t>
              </a:r>
              <a:r>
                <a:rPr lang="es-ES" sz="1100" b="0" i="0" kern="120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+𝐻𝐶𝑂_3^−</a:t>
              </a:r>
              <a:r>
                <a:rPr lang="es-ES" sz="1100" b="0" i="0">
                  <a:latin typeface="Cambria Math" panose="02040503050406030204" pitchFamily="18" charset="0"/>
                </a:rPr>
                <a:t>=𝐻_2 𝑂+𝐶𝑂_2(𝑔) </a:t>
              </a:r>
              <a:endParaRPr lang="es-ES" sz="1100" b="0"/>
            </a:p>
          </xdr:txBody>
        </xdr:sp>
      </mc:Fallback>
    </mc:AlternateContent>
    <xdr:clientData/>
  </xdr:twoCellAnchor>
  <xdr:twoCellAnchor>
    <xdr:from>
      <xdr:col>2</xdr:col>
      <xdr:colOff>312152</xdr:colOff>
      <xdr:row>19</xdr:row>
      <xdr:rowOff>168695</xdr:rowOff>
    </xdr:from>
    <xdr:to>
      <xdr:col>5</xdr:col>
      <xdr:colOff>44767</xdr:colOff>
      <xdr:row>20</xdr:row>
      <xdr:rowOff>160231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4" name="CuadroTexto 2">
              <a:extLst>
                <a:ext uri="{FF2B5EF4-FFF2-40B4-BE49-F238E27FC236}">
                  <a16:creationId xmlns:a16="http://schemas.microsoft.com/office/drawing/2014/main" id="{67E72F7B-25E9-45A0-846A-E42D989F7CC2}"/>
                </a:ext>
              </a:extLst>
            </xdr:cNvPr>
            <xdr:cNvSpPr txBox="1"/>
          </xdr:nvSpPr>
          <xdr:spPr>
            <a:xfrm>
              <a:off x="2445752" y="4080295"/>
              <a:ext cx="2018615" cy="177803"/>
            </a:xfrm>
            <a:prstGeom prst="rect">
              <a:avLst/>
            </a:prstGeom>
            <a:ln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wrap="square" lIns="0" tIns="0" rIns="0" bIns="0" rtlCol="0">
              <a:spAutoFit/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100" b="0" i="1" kern="1200">
                        <a:solidFill>
                          <a:schemeClr val="dk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𝐶</m:t>
                    </m:r>
                    <m:sSup>
                      <m:sSupPr>
                        <m:ctrlPr>
                          <a:rPr lang="es-ES" sz="1100" b="0" i="1" kern="1200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s-ES" sz="1100" b="0" i="1" kern="1200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𝑎</m:t>
                        </m:r>
                      </m:e>
                      <m:sup>
                        <m:r>
                          <a:rPr lang="es-ES" sz="1100" b="0" i="1" kern="1200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+2</m:t>
                        </m:r>
                      </m:sup>
                    </m:sSup>
                    <m:r>
                      <a:rPr lang="es-ES" sz="1100" b="0" i="1" kern="1200">
                        <a:solidFill>
                          <a:schemeClr val="dk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+</m:t>
                    </m:r>
                    <m:r>
                      <a:rPr lang="es-ES" sz="1100" b="0" i="1" kern="1200">
                        <a:solidFill>
                          <a:schemeClr val="dk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𝐻𝐶</m:t>
                    </m:r>
                    <m:sSubSup>
                      <m:sSubSupPr>
                        <m:ctrlPr>
                          <a:rPr lang="es-ES" sz="1100" b="0" i="1" kern="1200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SupPr>
                      <m:e>
                        <m:r>
                          <a:rPr lang="es-ES" sz="1100" b="0" i="1" kern="1200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𝑂</m:t>
                        </m:r>
                      </m:e>
                      <m:sub>
                        <m:r>
                          <a:rPr lang="es-ES" sz="1100" b="0" i="1" kern="1200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3</m:t>
                        </m:r>
                      </m:sub>
                      <m:sup>
                        <m:r>
                          <a:rPr lang="es-ES" sz="1100" b="0" i="1" kern="1200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−</m:t>
                        </m:r>
                      </m:sup>
                    </m:sSubSup>
                    <m:r>
                      <a:rPr lang="es-ES" sz="1100" b="0" i="1">
                        <a:latin typeface="Cambria Math" panose="02040503050406030204" pitchFamily="18" charset="0"/>
                      </a:rPr>
                      <m:t>=</m:t>
                    </m:r>
                    <m:sSup>
                      <m:sSupPr>
                        <m:ctrlPr>
                          <a:rPr lang="es-ES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s-ES" sz="1100" b="0" i="1">
                            <a:latin typeface="Cambria Math" panose="02040503050406030204" pitchFamily="18" charset="0"/>
                          </a:rPr>
                          <m:t>𝐻</m:t>
                        </m:r>
                      </m:e>
                      <m:sup>
                        <m:r>
                          <a:rPr lang="es-ES" sz="1100" b="0" i="1">
                            <a:latin typeface="Cambria Math" panose="02040503050406030204" pitchFamily="18" charset="0"/>
                          </a:rPr>
                          <m:t>+</m:t>
                        </m:r>
                      </m:sup>
                    </m:sSup>
                    <m:r>
                      <a:rPr lang="es-ES" sz="1100" b="0" i="1">
                        <a:latin typeface="Cambria Math" panose="02040503050406030204" pitchFamily="18" charset="0"/>
                      </a:rPr>
                      <m:t>+</m:t>
                    </m:r>
                    <m:r>
                      <a:rPr lang="es-ES" sz="1100" b="0" i="1">
                        <a:latin typeface="Cambria Math" panose="02040503050406030204" pitchFamily="18" charset="0"/>
                      </a:rPr>
                      <m:t>𝐶𝑎𝐶</m:t>
                    </m:r>
                    <m:sSub>
                      <m:sSubPr>
                        <m:ctrlPr>
                          <a:rPr lang="es-E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ES" sz="1100" b="0" i="1">
                            <a:latin typeface="Cambria Math" panose="02040503050406030204" pitchFamily="18" charset="0"/>
                          </a:rPr>
                          <m:t>𝑂</m:t>
                        </m:r>
                      </m:e>
                      <m:sub>
                        <m:r>
                          <a:rPr lang="es-ES" sz="1100" b="0" i="1">
                            <a:latin typeface="Cambria Math" panose="02040503050406030204" pitchFamily="18" charset="0"/>
                          </a:rPr>
                          <m:t>3</m:t>
                        </m:r>
                      </m:sub>
                    </m:sSub>
                  </m:oMath>
                </m:oMathPara>
              </a14:m>
              <a:endParaRPr lang="es-ES" sz="1100" b="0"/>
            </a:p>
          </xdr:txBody>
        </xdr:sp>
      </mc:Choice>
      <mc:Fallback xmlns="">
        <xdr:sp macro="" textlink="">
          <xdr:nvSpPr>
            <xdr:cNvPr id="24" name="CuadroTexto 2">
              <a:extLst>
                <a:ext uri="{FF2B5EF4-FFF2-40B4-BE49-F238E27FC236}">
                  <a16:creationId xmlns:a16="http://schemas.microsoft.com/office/drawing/2014/main" id="{67E72F7B-25E9-45A0-846A-E42D989F7CC2}"/>
                </a:ext>
              </a:extLst>
            </xdr:cNvPr>
            <xdr:cNvSpPr txBox="1"/>
          </xdr:nvSpPr>
          <xdr:spPr>
            <a:xfrm>
              <a:off x="2445752" y="4080295"/>
              <a:ext cx="2018615" cy="177803"/>
            </a:xfrm>
            <a:prstGeom prst="rect">
              <a:avLst/>
            </a:prstGeom>
            <a:ln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wrap="square" lIns="0" tIns="0" rIns="0" bIns="0" rtlCol="0">
              <a:spAutoFit/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es-ES" sz="1100" b="0" i="0" kern="120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𝐶𝑎^(+2)+𝐻𝐶𝑂_3^−</a:t>
              </a:r>
              <a:r>
                <a:rPr lang="es-ES" sz="1100" b="0" i="0">
                  <a:latin typeface="Cambria Math" panose="02040503050406030204" pitchFamily="18" charset="0"/>
                </a:rPr>
                <a:t>=𝐻^++𝐶𝑎𝐶𝑂_3</a:t>
              </a:r>
              <a:endParaRPr lang="es-ES" sz="1100" b="0"/>
            </a:p>
          </xdr:txBody>
        </xdr:sp>
      </mc:Fallback>
    </mc:AlternateContent>
    <xdr:clientData/>
  </xdr:twoCellAnchor>
  <xdr:twoCellAnchor>
    <xdr:from>
      <xdr:col>4</xdr:col>
      <xdr:colOff>457200</xdr:colOff>
      <xdr:row>7</xdr:row>
      <xdr:rowOff>38100</xdr:rowOff>
    </xdr:from>
    <xdr:to>
      <xdr:col>11</xdr:col>
      <xdr:colOff>114300</xdr:colOff>
      <xdr:row>16</xdr:row>
      <xdr:rowOff>85725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CuadroTexto 5">
              <a:extLst>
                <a:ext uri="{FF2B5EF4-FFF2-40B4-BE49-F238E27FC236}">
                  <a16:creationId xmlns:a16="http://schemas.microsoft.com/office/drawing/2014/main" id="{D1878966-FB50-404E-B4DD-822A6CC1F05F}"/>
                </a:ext>
              </a:extLst>
            </xdr:cNvPr>
            <xdr:cNvSpPr txBox="1"/>
          </xdr:nvSpPr>
          <xdr:spPr>
            <a:xfrm>
              <a:off x="4914900" y="1304925"/>
              <a:ext cx="5791200" cy="1676400"/>
            </a:xfrm>
            <a:prstGeom prst="rect">
              <a:avLst/>
            </a:prstGeom>
            <a:solidFill>
              <a:sysClr val="window" lastClr="FFFFFF"/>
            </a:solidFill>
            <a:ln>
              <a:solidFill>
                <a:sysClr val="windowText" lastClr="000000"/>
              </a:solidFill>
            </a:ln>
          </xdr:spPr>
          <xdr:txBody>
            <a:bodyPr wrap="square" lIns="0" tIns="0" rIns="0" bIns="0" rtlCol="0" anchor="ctr">
              <a:noAutofit/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d>
                      <m:dPr>
                        <m:begChr m:val="{"/>
                        <m:endChr m:val=""/>
                        <m:ctrlPr>
                          <a:rPr lang="es-ES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eqArr>
                          <m:eqArrPr>
                            <m:ctrlPr>
                              <a:rPr lang="es-ES" i="1">
                                <a:latin typeface="Cambria Math" panose="02040503050406030204" pitchFamily="18" charset="0"/>
                              </a:rPr>
                            </m:ctrlPr>
                          </m:eqArrPr>
                          <m:e>
                            <m:sSub>
                              <m:sSubPr>
                                <m:ctrlPr>
                                  <a:rPr lang="es-ES" sz="1800" b="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1800" b="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𝑟</m:t>
                                </m:r>
                              </m:e>
                              <m:sub>
                                <m:r>
                                  <a:rPr lang="es-ES" sz="1800" b="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𝐾</m:t>
                                </m:r>
                                <m:r>
                                  <a:rPr lang="es-ES" sz="1800" b="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,1</m:t>
                                </m:r>
                              </m:sub>
                            </m:sSub>
                            <m:r>
                              <a:rPr lang="es-ES" sz="1800" i="1" kern="120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=</m:t>
                            </m:r>
                            <m:sSub>
                              <m:sSubPr>
                                <m:ctrlPr>
                                  <a:rPr lang="es-ES" sz="1800" b="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1800" b="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𝜇</m:t>
                                </m:r>
                              </m:e>
                              <m:sub>
                                <m:r>
                                  <a:rPr lang="es-ES" sz="1800" b="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1</m:t>
                                </m:r>
                              </m:sub>
                            </m:sSub>
                            <m:f>
                              <m:fPr>
                                <m:ctrlPr>
                                  <a:rPr lang="es-ES" sz="180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fPr>
                              <m:num>
                                <m:d>
                                  <m:dPr>
                                    <m:begChr m:val="["/>
                                    <m:endChr m:val="]"/>
                                    <m:ctrlPr>
                                      <a:rPr lang="es-ES" sz="1800" b="0" i="1" kern="1200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dPr>
                                  <m:e>
                                    <m:r>
                                      <a:rPr lang="es-ES" sz="1800" b="0" i="1" kern="1200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𝐶</m:t>
                                    </m:r>
                                    <m:sSub>
                                      <m:sSubPr>
                                        <m:ctrlPr>
                                          <a:rPr lang="es-ES" sz="1800" b="0" i="1" kern="1200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es-ES" sz="1800" b="0" i="1" kern="1200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𝐻</m:t>
                                        </m:r>
                                      </m:e>
                                      <m:sub>
                                        <m:r>
                                          <a:rPr lang="es-ES" sz="1800" b="0" i="1" kern="1200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2</m:t>
                                        </m:r>
                                      </m:sub>
                                    </m:sSub>
                                    <m:r>
                                      <a:rPr lang="es-ES" sz="1800" b="0" i="1" kern="1200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𝑂</m:t>
                                    </m:r>
                                  </m:e>
                                </m:d>
                              </m:num>
                              <m:den>
                                <m:sSub>
                                  <m:sSubPr>
                                    <m:ctrlPr>
                                      <a:rPr lang="es-ES" sz="1800" b="0" i="1" kern="1200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sSubPr>
                                  <m:e>
                                    <m:r>
                                      <a:rPr lang="es-ES" sz="1800" b="0" i="1" kern="1200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𝐾</m:t>
                                    </m:r>
                                  </m:e>
                                  <m:sub>
                                    <m:r>
                                      <a:rPr lang="es-ES" sz="1800" b="0" i="1" kern="1200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𝐷𝑂𝐶</m:t>
                                    </m:r>
                                  </m:sub>
                                </m:sSub>
                                <m:r>
                                  <a:rPr lang="es-ES" sz="1800" b="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+</m:t>
                                </m:r>
                                <m:d>
                                  <m:dPr>
                                    <m:begChr m:val="["/>
                                    <m:endChr m:val="]"/>
                                    <m:ctrlPr>
                                      <a:rPr lang="es-ES" sz="1800" b="0" i="1" kern="1200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dPr>
                                  <m:e>
                                    <m:r>
                                      <a:rPr lang="es-ES" sz="1800" b="0" i="1" kern="1200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𝐶</m:t>
                                    </m:r>
                                    <m:sSub>
                                      <m:sSubPr>
                                        <m:ctrlPr>
                                          <a:rPr lang="es-ES" sz="1800" b="0" i="1" kern="1200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es-ES" sz="1800" b="0" i="1" kern="1200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𝐻</m:t>
                                        </m:r>
                                      </m:e>
                                      <m:sub>
                                        <m:r>
                                          <a:rPr lang="es-ES" sz="1800" b="0" i="1" kern="1200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2</m:t>
                                        </m:r>
                                      </m:sub>
                                    </m:sSub>
                                    <m:r>
                                      <a:rPr lang="es-ES" sz="1800" b="0" i="1" kern="1200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𝑂</m:t>
                                    </m:r>
                                  </m:e>
                                </m:d>
                              </m:den>
                            </m:f>
                            <m:f>
                              <m:fPr>
                                <m:ctrlPr>
                                  <a:rPr lang="es-ES" sz="180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fPr>
                              <m:num>
                                <m:d>
                                  <m:dPr>
                                    <m:begChr m:val="["/>
                                    <m:endChr m:val="]"/>
                                    <m:ctrlPr>
                                      <a:rPr lang="es-ES" sz="1800" b="0" i="1" kern="1200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dPr>
                                  <m:e>
                                    <m:sSub>
                                      <m:sSubPr>
                                        <m:ctrlPr>
                                          <a:rPr lang="es-ES" sz="1800" b="0" i="1" kern="1200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es-ES" sz="1800" b="0" i="1" kern="1200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𝑂</m:t>
                                        </m:r>
                                      </m:e>
                                      <m:sub>
                                        <m:r>
                                          <a:rPr lang="es-ES" sz="1800" b="0" i="1" kern="1200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2</m:t>
                                        </m:r>
                                        <m:d>
                                          <m:dPr>
                                            <m:ctrlPr>
                                              <a:rPr lang="es-ES" sz="1800" b="0" i="1" kern="1200">
                                                <a:solidFill>
                                                  <a:schemeClr val="tx1"/>
                                                </a:solidFill>
                                                <a:effectLst/>
                                                <a:latin typeface="Cambria Math" panose="02040503050406030204" pitchFamily="18" charset="0"/>
                                                <a:ea typeface="+mn-ea"/>
                                                <a:cs typeface="+mn-cs"/>
                                              </a:rPr>
                                            </m:ctrlPr>
                                          </m:dPr>
                                          <m:e>
                                            <m:r>
                                              <a:rPr lang="es-ES" sz="1800" b="0" i="1" kern="1200">
                                                <a:solidFill>
                                                  <a:schemeClr val="tx1"/>
                                                </a:solidFill>
                                                <a:effectLst/>
                                                <a:latin typeface="Cambria Math" panose="02040503050406030204" pitchFamily="18" charset="0"/>
                                                <a:ea typeface="+mn-ea"/>
                                                <a:cs typeface="+mn-cs"/>
                                              </a:rPr>
                                              <m:t>𝑎𝑞</m:t>
                                            </m:r>
                                          </m:e>
                                        </m:d>
                                      </m:sub>
                                    </m:sSub>
                                  </m:e>
                                </m:d>
                              </m:num>
                              <m:den>
                                <m:sSub>
                                  <m:sSubPr>
                                    <m:ctrlPr>
                                      <a:rPr lang="es-ES" sz="1800" b="0" i="1" kern="1200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sSubPr>
                                  <m:e>
                                    <m:r>
                                      <a:rPr lang="es-ES" sz="1800" b="0" i="1" kern="1200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𝐾</m:t>
                                    </m:r>
                                  </m:e>
                                  <m:sub>
                                    <m:sSub>
                                      <m:sSubPr>
                                        <m:ctrlPr>
                                          <a:rPr lang="es-ES" sz="1800" b="0" i="1" kern="1200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es-ES" sz="1800" b="0" i="1" kern="1200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𝑂</m:t>
                                        </m:r>
                                      </m:e>
                                      <m:sub>
                                        <m:r>
                                          <a:rPr lang="es-ES" sz="1800" b="0" i="1" kern="1200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2</m:t>
                                        </m:r>
                                      </m:sub>
                                    </m:sSub>
                                  </m:sub>
                                </m:sSub>
                                <m:r>
                                  <a:rPr lang="es-ES" sz="1800" b="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+</m:t>
                                </m:r>
                                <m:d>
                                  <m:dPr>
                                    <m:begChr m:val="["/>
                                    <m:endChr m:val="]"/>
                                    <m:ctrlPr>
                                      <a:rPr lang="es-ES" sz="1800" b="0" i="1" kern="1200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dPr>
                                  <m:e>
                                    <m:sSub>
                                      <m:sSubPr>
                                        <m:ctrlPr>
                                          <a:rPr lang="es-ES" sz="1800" b="0" i="1" kern="1200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es-ES" sz="1800" b="0" i="1" kern="1200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𝑂</m:t>
                                        </m:r>
                                      </m:e>
                                      <m:sub>
                                        <m:r>
                                          <a:rPr lang="es-ES" sz="1800" b="0" i="1" kern="1200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2</m:t>
                                        </m:r>
                                        <m:d>
                                          <m:dPr>
                                            <m:ctrlPr>
                                              <a:rPr lang="es-ES" sz="1800" b="0" i="1" kern="1200">
                                                <a:solidFill>
                                                  <a:schemeClr val="tx1"/>
                                                </a:solidFill>
                                                <a:effectLst/>
                                                <a:latin typeface="Cambria Math" panose="02040503050406030204" pitchFamily="18" charset="0"/>
                                                <a:ea typeface="+mn-ea"/>
                                                <a:cs typeface="+mn-cs"/>
                                              </a:rPr>
                                            </m:ctrlPr>
                                          </m:dPr>
                                          <m:e>
                                            <m:r>
                                              <a:rPr lang="es-ES" sz="1800" b="0" i="1" kern="1200">
                                                <a:solidFill>
                                                  <a:schemeClr val="tx1"/>
                                                </a:solidFill>
                                                <a:effectLst/>
                                                <a:latin typeface="Cambria Math" panose="02040503050406030204" pitchFamily="18" charset="0"/>
                                                <a:ea typeface="+mn-ea"/>
                                                <a:cs typeface="+mn-cs"/>
                                              </a:rPr>
                                              <m:t>𝑎𝑞</m:t>
                                            </m:r>
                                          </m:e>
                                        </m:d>
                                      </m:sub>
                                    </m:sSub>
                                  </m:e>
                                </m:d>
                              </m:den>
                            </m:f>
                          </m:e>
                          <m:e>
                            <m:sSub>
                              <m:sSubPr>
                                <m:ctrlPr>
                                  <a:rPr lang="es-ES" sz="1800" b="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1800" b="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𝑟</m:t>
                                </m:r>
                              </m:e>
                              <m:sub>
                                <m:r>
                                  <a:rPr lang="es-ES" sz="1800" b="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𝐾</m:t>
                                </m:r>
                                <m:r>
                                  <a:rPr lang="es-ES" sz="1800" b="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,2</m:t>
                                </m:r>
                              </m:sub>
                            </m:sSub>
                            <m:r>
                              <a:rPr lang="es-ES" sz="1800" i="1" kern="120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=</m:t>
                            </m:r>
                            <m:sSub>
                              <m:sSubPr>
                                <m:ctrlPr>
                                  <a:rPr lang="es-ES" sz="1800" b="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1800" b="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𝜇</m:t>
                                </m:r>
                              </m:e>
                              <m:sub>
                                <m:r>
                                  <a:rPr lang="es-ES" sz="1800" b="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2</m:t>
                                </m:r>
                              </m:sub>
                            </m:sSub>
                            <m:f>
                              <m:fPr>
                                <m:ctrlPr>
                                  <a:rPr lang="es-ES" sz="180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fPr>
                              <m:num>
                                <m:d>
                                  <m:dPr>
                                    <m:begChr m:val="["/>
                                    <m:endChr m:val="]"/>
                                    <m:ctrlPr>
                                      <a:rPr lang="es-ES" sz="1800" b="0" i="1" kern="1200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dPr>
                                  <m:e>
                                    <m:r>
                                      <a:rPr lang="es-ES" sz="1800" b="0" i="1" kern="1200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𝐶</m:t>
                                    </m:r>
                                    <m:sSub>
                                      <m:sSubPr>
                                        <m:ctrlPr>
                                          <a:rPr lang="es-ES" sz="1800" b="0" i="1" kern="1200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es-ES" sz="1800" b="0" i="1" kern="1200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𝐻</m:t>
                                        </m:r>
                                      </m:e>
                                      <m:sub>
                                        <m:r>
                                          <a:rPr lang="es-ES" sz="1800" b="0" i="1" kern="1200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2</m:t>
                                        </m:r>
                                      </m:sub>
                                    </m:sSub>
                                    <m:r>
                                      <a:rPr lang="es-ES" sz="1800" b="0" i="1" kern="1200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𝑂</m:t>
                                    </m:r>
                                  </m:e>
                                </m:d>
                              </m:num>
                              <m:den>
                                <m:sSub>
                                  <m:sSubPr>
                                    <m:ctrlPr>
                                      <a:rPr lang="es-ES" sz="1800" b="0" i="1" kern="1200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sSubPr>
                                  <m:e>
                                    <m:r>
                                      <a:rPr lang="es-ES" sz="1800" b="0" i="1" kern="1200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𝐾</m:t>
                                    </m:r>
                                  </m:e>
                                  <m:sub>
                                    <m:r>
                                      <a:rPr lang="es-ES" sz="1800" b="0" i="1" kern="1200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𝐷𝑂𝐶</m:t>
                                    </m:r>
                                  </m:sub>
                                </m:sSub>
                                <m:r>
                                  <a:rPr lang="es-ES" sz="1800" b="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+</m:t>
                                </m:r>
                                <m:d>
                                  <m:dPr>
                                    <m:begChr m:val="["/>
                                    <m:endChr m:val="]"/>
                                    <m:ctrlPr>
                                      <a:rPr lang="es-ES" sz="1800" b="0" i="1" kern="1200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dPr>
                                  <m:e>
                                    <m:r>
                                      <a:rPr lang="es-ES" sz="1800" b="0" i="1" kern="1200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𝐶</m:t>
                                    </m:r>
                                    <m:sSub>
                                      <m:sSubPr>
                                        <m:ctrlPr>
                                          <a:rPr lang="es-ES" sz="1800" b="0" i="1" kern="1200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es-ES" sz="1800" b="0" i="1" kern="1200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𝐻</m:t>
                                        </m:r>
                                      </m:e>
                                      <m:sub>
                                        <m:r>
                                          <a:rPr lang="es-ES" sz="1800" b="0" i="1" kern="1200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2</m:t>
                                        </m:r>
                                      </m:sub>
                                    </m:sSub>
                                    <m:r>
                                      <a:rPr lang="es-ES" sz="1800" b="0" i="1" kern="1200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𝑂</m:t>
                                    </m:r>
                                  </m:e>
                                </m:d>
                              </m:den>
                            </m:f>
                            <m:f>
                              <m:fPr>
                                <m:ctrlPr>
                                  <a:rPr lang="es-ES" sz="180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fPr>
                              <m:num>
                                <m:d>
                                  <m:dPr>
                                    <m:begChr m:val="["/>
                                    <m:endChr m:val="]"/>
                                    <m:ctrlPr>
                                      <a:rPr lang="es-ES" sz="1800" b="0" i="1" kern="1200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dPr>
                                  <m:e>
                                    <m:sSubSup>
                                      <m:sSubSupPr>
                                        <m:ctrlPr>
                                          <a:rPr lang="es-ES" sz="1800" b="0" i="1" kern="1200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</m:ctrlPr>
                                      </m:sSubSupPr>
                                      <m:e>
                                        <m:r>
                                          <a:rPr lang="es-ES" sz="1800" b="0" i="1" kern="1200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𝑁𝑂</m:t>
                                        </m:r>
                                      </m:e>
                                      <m:sub>
                                        <m:r>
                                          <a:rPr lang="es-ES" sz="1800" b="0" i="1" kern="1200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3</m:t>
                                        </m:r>
                                      </m:sub>
                                      <m:sup>
                                        <m:r>
                                          <a:rPr lang="es-ES" sz="1800" b="0" i="1" kern="1200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−</m:t>
                                        </m:r>
                                      </m:sup>
                                    </m:sSubSup>
                                  </m:e>
                                </m:d>
                              </m:num>
                              <m:den>
                                <m:sSub>
                                  <m:sSubPr>
                                    <m:ctrlPr>
                                      <a:rPr lang="es-ES" sz="1800" b="0" i="1" kern="1200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sSubPr>
                                  <m:e>
                                    <m:r>
                                      <a:rPr lang="es-ES" sz="1800" b="0" i="1" kern="1200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𝐾</m:t>
                                    </m:r>
                                  </m:e>
                                  <m:sub>
                                    <m:r>
                                      <a:rPr lang="es-ES" sz="1800" b="0" i="1" kern="1200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𝑁</m:t>
                                    </m:r>
                                    <m:sSubSup>
                                      <m:sSubSupPr>
                                        <m:ctrlPr>
                                          <a:rPr lang="es-ES" sz="1800" b="0" i="1" kern="1200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</m:ctrlPr>
                                      </m:sSubSupPr>
                                      <m:e>
                                        <m:r>
                                          <a:rPr lang="es-ES" sz="1800" b="0" i="1" kern="1200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𝑂</m:t>
                                        </m:r>
                                      </m:e>
                                      <m:sub>
                                        <m:r>
                                          <a:rPr lang="es-ES" sz="1800" b="0" i="1" kern="1200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3</m:t>
                                        </m:r>
                                      </m:sub>
                                      <m:sup>
                                        <m:r>
                                          <a:rPr lang="es-ES" sz="1800" b="0" i="1" kern="1200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−</m:t>
                                        </m:r>
                                      </m:sup>
                                    </m:sSubSup>
                                  </m:sub>
                                </m:sSub>
                                <m:r>
                                  <a:rPr lang="es-ES" sz="1800" b="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+</m:t>
                                </m:r>
                                <m:d>
                                  <m:dPr>
                                    <m:begChr m:val="["/>
                                    <m:endChr m:val="]"/>
                                    <m:ctrlPr>
                                      <a:rPr lang="es-ES" sz="1800" b="0" i="1" kern="1200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dPr>
                                  <m:e>
                                    <m:sSubSup>
                                      <m:sSubSupPr>
                                        <m:ctrlPr>
                                          <a:rPr lang="es-ES" sz="1800" b="0" i="1" kern="1200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</m:ctrlPr>
                                      </m:sSubSupPr>
                                      <m:e>
                                        <m:r>
                                          <a:rPr lang="es-ES" sz="1800" b="0" i="1" kern="1200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𝑁𝑂</m:t>
                                        </m:r>
                                      </m:e>
                                      <m:sub>
                                        <m:r>
                                          <a:rPr lang="es-ES" sz="1800" b="0" i="1" kern="1200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3</m:t>
                                        </m:r>
                                      </m:sub>
                                      <m:sup>
                                        <m:r>
                                          <a:rPr lang="es-ES" sz="1800" b="0" i="1" kern="1200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−</m:t>
                                        </m:r>
                                      </m:sup>
                                    </m:sSubSup>
                                  </m:e>
                                </m:d>
                              </m:den>
                            </m:f>
                            <m:f>
                              <m:fPr>
                                <m:ctrlPr>
                                  <a:rPr lang="es-ES" sz="180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fPr>
                              <m:num>
                                <m:sSub>
                                  <m:sSubPr>
                                    <m:ctrlPr>
                                      <a:rPr lang="es-ES" sz="1800" b="0" i="1" kern="1200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sSubPr>
                                  <m:e>
                                    <m:r>
                                      <a:rPr lang="es-ES" sz="1800" b="0" i="1" kern="1200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𝐼</m:t>
                                    </m:r>
                                  </m:e>
                                  <m:sub>
                                    <m:sSub>
                                      <m:sSubPr>
                                        <m:ctrlPr>
                                          <a:rPr lang="es-ES" sz="1800" b="0" i="1" kern="1200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es-ES" sz="1800" b="0" i="1" kern="1200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𝑂</m:t>
                                        </m:r>
                                      </m:e>
                                      <m:sub>
                                        <m:r>
                                          <a:rPr lang="es-ES" sz="1800" b="0" i="1" kern="1200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2</m:t>
                                        </m:r>
                                      </m:sub>
                                    </m:sSub>
                                  </m:sub>
                                </m:sSub>
                              </m:num>
                              <m:den>
                                <m:sSub>
                                  <m:sSubPr>
                                    <m:ctrlPr>
                                      <a:rPr lang="es-ES" sz="1800" b="0" i="1" kern="1200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sSubPr>
                                  <m:e>
                                    <m:r>
                                      <a:rPr lang="es-ES" sz="1800" b="0" i="1" kern="1200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𝐼</m:t>
                                    </m:r>
                                  </m:e>
                                  <m:sub>
                                    <m:sSub>
                                      <m:sSubPr>
                                        <m:ctrlPr>
                                          <a:rPr lang="es-ES" sz="1800" b="0" i="1" kern="1200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es-ES" sz="1800" b="0" i="1" kern="1200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𝑂</m:t>
                                        </m:r>
                                      </m:e>
                                      <m:sub>
                                        <m:r>
                                          <a:rPr lang="es-ES" sz="1800" b="0" i="1" kern="1200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2</m:t>
                                        </m:r>
                                      </m:sub>
                                    </m:sSub>
                                  </m:sub>
                                </m:sSub>
                                <m:r>
                                  <a:rPr lang="es-ES" sz="1800" b="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+</m:t>
                                </m:r>
                                <m:d>
                                  <m:dPr>
                                    <m:begChr m:val="["/>
                                    <m:endChr m:val="]"/>
                                    <m:ctrlPr>
                                      <a:rPr lang="es-ES" sz="1800" b="0" i="1" kern="1200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dPr>
                                  <m:e>
                                    <m:sSub>
                                      <m:sSubPr>
                                        <m:ctrlPr>
                                          <a:rPr lang="es-ES" sz="1800" b="0" i="1" kern="1200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es-ES" sz="1800" b="0" i="1" kern="1200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𝑂</m:t>
                                        </m:r>
                                      </m:e>
                                      <m:sub>
                                        <m:r>
                                          <a:rPr lang="es-ES" sz="1800" b="0" i="1" kern="1200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2</m:t>
                                        </m:r>
                                        <m:d>
                                          <m:dPr>
                                            <m:ctrlPr>
                                              <a:rPr lang="es-ES" sz="1800" b="0" i="1" kern="1200">
                                                <a:solidFill>
                                                  <a:schemeClr val="tx1"/>
                                                </a:solidFill>
                                                <a:effectLst/>
                                                <a:latin typeface="Cambria Math" panose="02040503050406030204" pitchFamily="18" charset="0"/>
                                                <a:ea typeface="+mn-ea"/>
                                                <a:cs typeface="+mn-cs"/>
                                              </a:rPr>
                                            </m:ctrlPr>
                                          </m:dPr>
                                          <m:e>
                                            <m:r>
                                              <a:rPr lang="es-ES" sz="1800" b="0" i="1" kern="1200">
                                                <a:solidFill>
                                                  <a:schemeClr val="tx1"/>
                                                </a:solidFill>
                                                <a:effectLst/>
                                                <a:latin typeface="Cambria Math" panose="02040503050406030204" pitchFamily="18" charset="0"/>
                                                <a:ea typeface="+mn-ea"/>
                                                <a:cs typeface="+mn-cs"/>
                                              </a:rPr>
                                              <m:t>𝑎𝑞</m:t>
                                            </m:r>
                                          </m:e>
                                        </m:d>
                                      </m:sub>
                                    </m:sSub>
                                  </m:e>
                                </m:d>
                              </m:den>
                            </m:f>
                          </m:e>
                        </m:eqArr>
                      </m:e>
                    </m:d>
                  </m:oMath>
                </m:oMathPara>
              </a14:m>
              <a:endParaRPr lang="es-ES"/>
            </a:p>
          </xdr:txBody>
        </xdr:sp>
      </mc:Choice>
      <mc:Fallback xmlns="">
        <xdr:sp macro="" textlink="">
          <xdr:nvSpPr>
            <xdr:cNvPr id="2" name="CuadroTexto 5">
              <a:extLst>
                <a:ext uri="{FF2B5EF4-FFF2-40B4-BE49-F238E27FC236}">
                  <a16:creationId xmlns:a16="http://schemas.microsoft.com/office/drawing/2014/main" id="{D1878966-FB50-404E-B4DD-822A6CC1F05F}"/>
                </a:ext>
              </a:extLst>
            </xdr:cNvPr>
            <xdr:cNvSpPr txBox="1"/>
          </xdr:nvSpPr>
          <xdr:spPr>
            <a:xfrm>
              <a:off x="4914900" y="1304925"/>
              <a:ext cx="5791200" cy="1676400"/>
            </a:xfrm>
            <a:prstGeom prst="rect">
              <a:avLst/>
            </a:prstGeom>
            <a:solidFill>
              <a:sysClr val="window" lastClr="FFFFFF"/>
            </a:solidFill>
            <a:ln>
              <a:solidFill>
                <a:sysClr val="windowText" lastClr="000000"/>
              </a:solidFill>
            </a:ln>
          </xdr:spPr>
          <xdr:txBody>
            <a:bodyPr wrap="square" lIns="0" tIns="0" rIns="0" bIns="0" rtlCol="0" anchor="ctr">
              <a:noAutofit/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es-ES" i="0">
                  <a:latin typeface="Cambria Math" panose="02040503050406030204" pitchFamily="18" charset="0"/>
                </a:rPr>
                <a:t>{█(</a:t>
              </a:r>
              <a:r>
                <a:rPr lang="es-ES" sz="1800" b="0" i="0" kern="12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𝑟_(𝐾,1)</a:t>
              </a:r>
              <a:r>
                <a:rPr lang="es-ES" sz="1800" i="0" kern="12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=</a:t>
              </a:r>
              <a:r>
                <a:rPr lang="es-ES" sz="1800" b="0" i="0" kern="12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𝜇_1  [𝐶𝐻_2 𝑂]/(𝐾_𝐷𝑂𝐶+[𝐶𝐻_2 𝑂] )  [𝑂_2(𝑎𝑞)  ]/(𝐾_(𝑂_2 )+</a:t>
              </a:r>
              <a:r>
                <a:rPr lang="es-ES" sz="1800" b="0" i="0" kern="12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[𝑂_2(𝑎𝑞)  ]</a:t>
              </a:r>
              <a:r>
                <a:rPr lang="es-ES" sz="1800" b="0" i="0" kern="12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)@</a:t>
              </a:r>
              <a:r>
                <a:rPr lang="es-ES" sz="1800" b="0" i="0" kern="12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𝑟_(𝐾,</a:t>
              </a:r>
              <a:r>
                <a:rPr lang="es-ES" sz="1800" b="0" i="0" kern="12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2</a:t>
              </a:r>
              <a:r>
                <a:rPr lang="es-ES" sz="1800" b="0" i="0" kern="12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)</a:t>
              </a:r>
              <a:r>
                <a:rPr lang="es-ES" sz="1800" i="0" kern="12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=</a:t>
              </a:r>
              <a:r>
                <a:rPr lang="es-ES" sz="1800" b="0" i="0" kern="12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𝜇_</a:t>
              </a:r>
              <a:r>
                <a:rPr lang="es-ES" sz="1800" b="0" i="0" kern="12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2</a:t>
              </a:r>
              <a:r>
                <a:rPr lang="es-ES" sz="1800" b="0" i="0" kern="12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 [𝐶𝐻_2 𝑂]/(𝐾_𝐷𝑂𝐶+[𝐶𝐻_2 𝑂] )  [</a:t>
              </a:r>
              <a:r>
                <a:rPr lang="es-ES" sz="1800" b="0" i="0" kern="12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〖𝑁𝑂〗_3^−</a:t>
              </a:r>
              <a:r>
                <a:rPr lang="es-ES" sz="1800" b="0" i="0" kern="12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]/(𝐾_(</a:t>
              </a:r>
              <a:r>
                <a:rPr lang="es-ES" sz="1800" b="0" i="0" kern="12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𝑁𝑂_3^−</a:t>
              </a:r>
              <a:r>
                <a:rPr lang="es-ES" sz="1800" b="0" i="0" kern="12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)+[</a:t>
              </a:r>
              <a:r>
                <a:rPr lang="es-ES" sz="1800" b="0" i="0" kern="12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〖𝑁𝑂〗_3^−</a:t>
              </a:r>
              <a:r>
                <a:rPr lang="es-ES" sz="1800" b="0" i="0" kern="12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] )  𝐼_(𝑂_2 )/(</a:t>
              </a:r>
              <a:r>
                <a:rPr lang="es-ES" sz="1800" b="0" i="0" kern="12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𝐼_(𝑂_2 )</a:t>
              </a:r>
              <a:r>
                <a:rPr lang="es-ES" sz="1800" b="0" i="0" kern="12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+[</a:t>
              </a:r>
              <a:r>
                <a:rPr lang="es-ES" sz="1800" b="0" i="0" kern="12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𝑂_2(𝑎𝑞) </a:t>
              </a:r>
              <a:r>
                <a:rPr lang="es-ES" sz="1800" b="0" i="0" kern="12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] )</a:t>
              </a:r>
              <a:r>
                <a:rPr lang="es-ES" sz="1800" b="0" i="0" kern="12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)┤</a:t>
              </a:r>
              <a:endParaRPr lang="es-ES"/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601980</xdr:colOff>
      <xdr:row>0</xdr:row>
      <xdr:rowOff>80010</xdr:rowOff>
    </xdr:from>
    <xdr:to>
      <xdr:col>17</xdr:col>
      <xdr:colOff>601980</xdr:colOff>
      <xdr:row>15</xdr:row>
      <xdr:rowOff>80010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6BC98569-EC9C-4AD4-81E6-3048DDB787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706754</xdr:colOff>
      <xdr:row>0</xdr:row>
      <xdr:rowOff>14287</xdr:rowOff>
    </xdr:from>
    <xdr:to>
      <xdr:col>11</xdr:col>
      <xdr:colOff>706754</xdr:colOff>
      <xdr:row>15</xdr:row>
      <xdr:rowOff>14287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AA175104-B6D7-422A-A7D9-7003B102E4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15</xdr:row>
      <xdr:rowOff>49530</xdr:rowOff>
    </xdr:from>
    <xdr:to>
      <xdr:col>6</xdr:col>
      <xdr:colOff>0</xdr:colOff>
      <xdr:row>30</xdr:row>
      <xdr:rowOff>49530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D59F8B27-6D49-4091-ADE2-8BE5ECA12C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721995</xdr:colOff>
      <xdr:row>15</xdr:row>
      <xdr:rowOff>137160</xdr:rowOff>
    </xdr:from>
    <xdr:to>
      <xdr:col>11</xdr:col>
      <xdr:colOff>721995</xdr:colOff>
      <xdr:row>30</xdr:row>
      <xdr:rowOff>137160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77C25765-94FB-456E-A645-EC0B88E161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36830</xdr:colOff>
      <xdr:row>15</xdr:row>
      <xdr:rowOff>152400</xdr:rowOff>
    </xdr:from>
    <xdr:to>
      <xdr:col>18</xdr:col>
      <xdr:colOff>36830</xdr:colOff>
      <xdr:row>30</xdr:row>
      <xdr:rowOff>152400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BF0849F9-2951-4EFF-A6FD-1D29EA06A1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24</xdr:col>
      <xdr:colOff>275377</xdr:colOff>
      <xdr:row>0</xdr:row>
      <xdr:rowOff>30055</xdr:rowOff>
    </xdr:from>
    <xdr:to>
      <xdr:col>30</xdr:col>
      <xdr:colOff>275377</xdr:colOff>
      <xdr:row>15</xdr:row>
      <xdr:rowOff>30055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CC08BB06-AB72-4E8E-BCFB-6D1A54AF12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24</xdr:col>
      <xdr:colOff>238125</xdr:colOff>
      <xdr:row>16</xdr:row>
      <xdr:rowOff>85725</xdr:rowOff>
    </xdr:from>
    <xdr:to>
      <xdr:col>30</xdr:col>
      <xdr:colOff>238125</xdr:colOff>
      <xdr:row>31</xdr:row>
      <xdr:rowOff>85725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10462322-1B18-417B-A6B6-0CD9D7FE78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18</xdr:col>
      <xdr:colOff>92075</xdr:colOff>
      <xdr:row>16</xdr:row>
      <xdr:rowOff>44450</xdr:rowOff>
    </xdr:from>
    <xdr:to>
      <xdr:col>24</xdr:col>
      <xdr:colOff>92075</xdr:colOff>
      <xdr:row>31</xdr:row>
      <xdr:rowOff>44450</xdr:rowOff>
    </xdr:to>
    <xdr:graphicFrame macro="">
      <xdr:nvGraphicFramePr>
        <xdr:cNvPr id="14" name="Gráfico 13">
          <a:extLst>
            <a:ext uri="{FF2B5EF4-FFF2-40B4-BE49-F238E27FC236}">
              <a16:creationId xmlns:a16="http://schemas.microsoft.com/office/drawing/2014/main" id="{822AD60A-97E4-43D2-A9F8-C95EFAF473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6</xdr:col>
      <xdr:colOff>0</xdr:colOff>
      <xdr:row>15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5336B4C-2125-43AE-95DE-895AB4F16B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18</xdr:col>
      <xdr:colOff>28575</xdr:colOff>
      <xdr:row>0</xdr:row>
      <xdr:rowOff>76200</xdr:rowOff>
    </xdr:from>
    <xdr:to>
      <xdr:col>24</xdr:col>
      <xdr:colOff>28575</xdr:colOff>
      <xdr:row>15</xdr:row>
      <xdr:rowOff>76200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3A695AD3-0496-4296-9ED6-A6C84D6CC1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A8EEB-AC5E-4942-BCEB-ED76BF43F885}">
  <dimension ref="A1:A22"/>
  <sheetViews>
    <sheetView zoomScaleNormal="100" workbookViewId="0">
      <selection activeCell="H5" sqref="H5"/>
    </sheetView>
  </sheetViews>
  <sheetFormatPr baseColWidth="10" defaultRowHeight="14.5" x14ac:dyDescent="0.35"/>
  <sheetData>
    <row r="1" spans="1:1" x14ac:dyDescent="0.35">
      <c r="A1" t="s">
        <v>94</v>
      </c>
    </row>
    <row r="3" spans="1:1" x14ac:dyDescent="0.35">
      <c r="A3" t="s">
        <v>49</v>
      </c>
    </row>
    <row r="5" spans="1:1" x14ac:dyDescent="0.35">
      <c r="A5" t="s">
        <v>51</v>
      </c>
    </row>
    <row r="6" spans="1:1" x14ac:dyDescent="0.35">
      <c r="A6" t="s">
        <v>48</v>
      </c>
    </row>
    <row r="8" spans="1:1" x14ac:dyDescent="0.35">
      <c r="A8" t="s">
        <v>37</v>
      </c>
    </row>
    <row r="10" spans="1:1" x14ac:dyDescent="0.35">
      <c r="A10" t="s">
        <v>46</v>
      </c>
    </row>
    <row r="12" spans="1:1" x14ac:dyDescent="0.35">
      <c r="A12" t="s">
        <v>95</v>
      </c>
    </row>
    <row r="14" spans="1:1" x14ac:dyDescent="0.35">
      <c r="A14" t="s">
        <v>63</v>
      </c>
    </row>
    <row r="16" spans="1:1" x14ac:dyDescent="0.35">
      <c r="A16" t="s">
        <v>47</v>
      </c>
    </row>
    <row r="18" spans="1:1" x14ac:dyDescent="0.35">
      <c r="A18" t="s">
        <v>67</v>
      </c>
    </row>
    <row r="20" spans="1:1" x14ac:dyDescent="0.35">
      <c r="A20" t="s">
        <v>26</v>
      </c>
    </row>
    <row r="22" spans="1:1" x14ac:dyDescent="0.35">
      <c r="A22" t="s">
        <v>96</v>
      </c>
    </row>
  </sheetData>
  <pageMargins left="0.7" right="0.7" top="0.75" bottom="0.75" header="0.3" footer="0.3"/>
  <pageSetup paperSize="9" orientation="portrait" horizontalDpi="30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A0369-823D-4998-BDDD-15CCDCB6AFEF}">
  <dimension ref="A1:AK39"/>
  <sheetViews>
    <sheetView zoomScale="90" zoomScaleNormal="90" workbookViewId="0">
      <selection activeCell="I6" sqref="I6"/>
    </sheetView>
  </sheetViews>
  <sheetFormatPr baseColWidth="10" defaultRowHeight="14.5" x14ac:dyDescent="0.35"/>
  <cols>
    <col min="2" max="2" width="12.7265625" customWidth="1"/>
    <col min="3" max="3" width="14.81640625" customWidth="1"/>
    <col min="5" max="5" width="13" customWidth="1"/>
    <col min="7" max="7" width="18.7265625" customWidth="1"/>
    <col min="8" max="8" width="13" customWidth="1"/>
    <col min="20" max="20" width="18.7265625" customWidth="1"/>
  </cols>
  <sheetData>
    <row r="1" spans="1:37" x14ac:dyDescent="0.35">
      <c r="A1" s="2" t="s">
        <v>0</v>
      </c>
      <c r="B1" s="1">
        <f>$B$3/($E$6)</f>
        <v>0.1</v>
      </c>
      <c r="C1" s="4" t="s">
        <v>8</v>
      </c>
      <c r="D1" s="22" t="s">
        <v>68</v>
      </c>
      <c r="E1">
        <v>1</v>
      </c>
      <c r="F1" s="3"/>
      <c r="G1" s="22" t="s">
        <v>88</v>
      </c>
      <c r="H1" s="46">
        <f>$B$6*$B$4/($B$5^2)</f>
        <v>2.4999999999999996</v>
      </c>
      <c r="I1" s="4" t="s">
        <v>7</v>
      </c>
      <c r="J1" s="3"/>
      <c r="K1" s="13" t="s">
        <v>102</v>
      </c>
      <c r="L1" s="5">
        <f>$B$5/(2*$B$1)+$B$6/($B$1^2)</f>
        <v>20.999999999999996</v>
      </c>
      <c r="M1" s="60" t="s">
        <v>105</v>
      </c>
      <c r="O1" s="13" t="s">
        <v>99</v>
      </c>
      <c r="P1" s="1">
        <f>-$B$2*L1/$B$4</f>
        <v>-0.41999999999999993</v>
      </c>
      <c r="R1" s="2"/>
      <c r="T1" s="3"/>
      <c r="U1" s="3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7" x14ac:dyDescent="0.35">
      <c r="A2" s="2" t="s">
        <v>1</v>
      </c>
      <c r="B2" s="1">
        <v>0.01</v>
      </c>
      <c r="C2" s="4" t="s">
        <v>7</v>
      </c>
      <c r="D2" s="1"/>
      <c r="E2" s="1"/>
      <c r="G2" s="45" t="s">
        <v>89</v>
      </c>
      <c r="H2" s="38">
        <f>$B$7</f>
        <v>1</v>
      </c>
      <c r="I2" s="46" t="s">
        <v>8</v>
      </c>
      <c r="J2" s="38"/>
      <c r="K2" s="55" t="s">
        <v>103</v>
      </c>
      <c r="L2" s="5">
        <f>-$B$5/(2*$B$1)+$B$6/($B$1^2)</f>
        <v>18.999999999999996</v>
      </c>
      <c r="M2" s="60"/>
      <c r="O2" s="55" t="s">
        <v>100</v>
      </c>
      <c r="P2" s="1">
        <f>-$B$2*L2/$B$4</f>
        <v>-0.37999999999999995</v>
      </c>
      <c r="Q2" s="38"/>
      <c r="R2" s="38"/>
      <c r="S2" s="1"/>
      <c r="AF2" s="1"/>
      <c r="AG2" s="1"/>
      <c r="AH2" s="1"/>
      <c r="AI2" s="1"/>
      <c r="AJ2" s="1"/>
      <c r="AK2" s="1"/>
    </row>
    <row r="3" spans="1:37" x14ac:dyDescent="0.35">
      <c r="A3" s="2" t="s">
        <v>15</v>
      </c>
      <c r="B3" s="1">
        <v>1</v>
      </c>
      <c r="C3" s="4" t="s">
        <v>8</v>
      </c>
      <c r="D3" s="23" t="s">
        <v>110</v>
      </c>
      <c r="E3" s="37">
        <f>B5*B2/(B4*B1)</f>
        <v>0.04</v>
      </c>
      <c r="G3" s="19"/>
      <c r="H3" s="38"/>
      <c r="I3" s="38"/>
      <c r="J3" s="38"/>
      <c r="K3" s="55" t="s">
        <v>104</v>
      </c>
      <c r="L3" s="1">
        <f>-L2-L1</f>
        <v>-39.999999999999993</v>
      </c>
      <c r="M3" s="60"/>
      <c r="O3" s="55" t="s">
        <v>101</v>
      </c>
      <c r="P3" s="1">
        <f>1-$B$2*L3/$B$4</f>
        <v>1.7999999999999998</v>
      </c>
      <c r="Q3" s="38"/>
      <c r="R3" s="38"/>
      <c r="S3" s="1"/>
      <c r="AF3" s="1"/>
      <c r="AG3" s="1"/>
      <c r="AH3" s="1"/>
      <c r="AI3" s="1"/>
      <c r="AJ3" s="1"/>
      <c r="AK3" s="1"/>
    </row>
    <row r="4" spans="1:37" x14ac:dyDescent="0.35">
      <c r="A4" s="2" t="s">
        <v>2</v>
      </c>
      <c r="B4" s="1">
        <v>0.5</v>
      </c>
      <c r="C4" s="4"/>
      <c r="D4" s="23" t="s">
        <v>109</v>
      </c>
      <c r="E4" s="37">
        <f>ABS(B5)*B1/B6</f>
        <v>0.10000000000000002</v>
      </c>
      <c r="G4" s="45" t="s">
        <v>93</v>
      </c>
      <c r="H4" s="38">
        <f>$B$5</f>
        <v>0.2</v>
      </c>
      <c r="I4" s="38" t="str">
        <f>C5</f>
        <v>m/d</v>
      </c>
      <c r="J4" s="38"/>
      <c r="K4" s="55" t="s">
        <v>106</v>
      </c>
      <c r="L4" s="1">
        <f>-$B$5/(2*$B$1)-$B$6/($B$1^2)</f>
        <v>-20.999999999999996</v>
      </c>
      <c r="M4" s="60"/>
      <c r="N4" s="38"/>
      <c r="O4" s="38"/>
      <c r="P4" s="38"/>
      <c r="Q4" s="38"/>
      <c r="R4" s="38"/>
      <c r="S4" s="1"/>
      <c r="AF4" s="1"/>
      <c r="AG4" s="1"/>
      <c r="AH4" s="1"/>
      <c r="AI4" s="1"/>
      <c r="AJ4" s="1"/>
      <c r="AK4" s="1"/>
    </row>
    <row r="5" spans="1:37" x14ac:dyDescent="0.35">
      <c r="A5" s="2" t="s">
        <v>9</v>
      </c>
      <c r="B5" s="1">
        <v>0.2</v>
      </c>
      <c r="C5" s="5" t="s">
        <v>11</v>
      </c>
      <c r="D5" s="1"/>
      <c r="E5" s="1"/>
      <c r="G5" s="19"/>
      <c r="H5" s="38"/>
      <c r="I5" s="38"/>
      <c r="J5" s="38"/>
      <c r="K5" s="55" t="s">
        <v>107</v>
      </c>
      <c r="L5" s="1">
        <f>-$L$1</f>
        <v>-20.999999999999996</v>
      </c>
      <c r="M5" s="60"/>
      <c r="N5" s="38"/>
      <c r="O5" s="38"/>
      <c r="P5" s="38"/>
      <c r="Q5" s="38"/>
      <c r="R5" s="38"/>
      <c r="S5" s="1"/>
      <c r="AF5" s="1"/>
      <c r="AG5" s="1"/>
      <c r="AH5" s="1"/>
      <c r="AI5" s="1"/>
      <c r="AJ5" s="1"/>
      <c r="AK5" s="1"/>
    </row>
    <row r="6" spans="1:37" x14ac:dyDescent="0.35">
      <c r="A6" s="2" t="s">
        <v>10</v>
      </c>
      <c r="B6" s="1">
        <f>$B$5*$B$7</f>
        <v>0.2</v>
      </c>
      <c r="C6" s="5" t="s">
        <v>12</v>
      </c>
      <c r="D6" s="23" t="s">
        <v>71</v>
      </c>
      <c r="E6">
        <v>10</v>
      </c>
      <c r="G6" s="45" t="s">
        <v>97</v>
      </c>
      <c r="H6" s="47" t="s">
        <v>98</v>
      </c>
      <c r="I6" s="38"/>
      <c r="J6" s="38"/>
      <c r="K6" s="38"/>
      <c r="L6" s="38"/>
      <c r="M6" s="38"/>
      <c r="N6" s="38"/>
      <c r="O6" s="38"/>
      <c r="P6" s="38"/>
      <c r="Q6" s="38"/>
      <c r="R6" s="38"/>
      <c r="S6" s="1"/>
      <c r="AF6" s="1"/>
      <c r="AG6" s="1"/>
      <c r="AH6" s="1"/>
      <c r="AI6" s="1"/>
      <c r="AJ6" s="1"/>
      <c r="AK6" s="1"/>
    </row>
    <row r="7" spans="1:37" x14ac:dyDescent="0.35">
      <c r="A7" s="2" t="s">
        <v>70</v>
      </c>
      <c r="B7" s="1">
        <v>1</v>
      </c>
      <c r="C7" s="5" t="s">
        <v>8</v>
      </c>
      <c r="D7" s="1"/>
      <c r="E7" s="1"/>
      <c r="G7" s="19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1"/>
      <c r="AF7" s="1"/>
      <c r="AG7" s="1"/>
      <c r="AH7" s="1"/>
      <c r="AI7" s="1"/>
      <c r="AJ7" s="1"/>
      <c r="AK7" s="1"/>
    </row>
    <row r="8" spans="1:37" x14ac:dyDescent="0.35">
      <c r="A8" s="56" t="s">
        <v>19</v>
      </c>
      <c r="B8" s="56"/>
      <c r="C8" s="56"/>
      <c r="D8" s="56"/>
      <c r="E8" s="1"/>
      <c r="G8" s="19"/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1"/>
      <c r="AF8" s="1"/>
      <c r="AG8" s="1"/>
      <c r="AH8" s="1"/>
      <c r="AI8" s="1"/>
      <c r="AJ8" s="1"/>
      <c r="AK8" s="1"/>
    </row>
    <row r="9" spans="1:37" x14ac:dyDescent="0.35">
      <c r="A9" s="21" t="s">
        <v>45</v>
      </c>
      <c r="B9" s="21" t="s">
        <v>43</v>
      </c>
      <c r="C9" s="21" t="s">
        <v>44</v>
      </c>
      <c r="D9" s="3"/>
      <c r="E9" s="1"/>
      <c r="G9" s="19"/>
      <c r="H9" s="38"/>
      <c r="I9" s="38"/>
      <c r="J9" s="38"/>
      <c r="K9" s="38"/>
      <c r="L9" s="38"/>
      <c r="M9" s="38"/>
      <c r="N9" s="38"/>
      <c r="O9" s="38"/>
      <c r="P9" s="38"/>
      <c r="Q9" s="38"/>
      <c r="R9" s="38"/>
      <c r="S9" s="1"/>
      <c r="AF9" s="1"/>
      <c r="AG9" s="1"/>
      <c r="AH9" s="1"/>
      <c r="AI9" s="1"/>
      <c r="AJ9" s="1"/>
      <c r="AK9" s="1"/>
    </row>
    <row r="10" spans="1:37" x14ac:dyDescent="0.35">
      <c r="A10">
        <v>1</v>
      </c>
      <c r="B10" s="6">
        <v>1</v>
      </c>
      <c r="C10" s="4"/>
      <c r="D10" s="35" t="s">
        <v>91</v>
      </c>
      <c r="E10" s="1"/>
      <c r="G10" s="19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1"/>
      <c r="AF10" s="1"/>
      <c r="AG10" s="1"/>
      <c r="AH10" s="1"/>
      <c r="AI10" s="1"/>
      <c r="AJ10" s="1"/>
      <c r="AK10" s="1"/>
    </row>
    <row r="11" spans="1:37" x14ac:dyDescent="0.35">
      <c r="A11">
        <v>2</v>
      </c>
      <c r="B11" s="7">
        <v>2</v>
      </c>
      <c r="C11" s="9">
        <v>1</v>
      </c>
      <c r="D11" s="57" t="s">
        <v>50</v>
      </c>
      <c r="E11" s="1"/>
      <c r="G11" s="19"/>
      <c r="H11" s="38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1"/>
      <c r="AF11" s="1"/>
      <c r="AG11" s="1"/>
      <c r="AH11" s="1"/>
      <c r="AI11" s="1"/>
      <c r="AJ11" s="1"/>
      <c r="AK11" s="1"/>
    </row>
    <row r="12" spans="1:37" x14ac:dyDescent="0.35">
      <c r="A12">
        <v>3</v>
      </c>
      <c r="B12" s="7">
        <v>2</v>
      </c>
      <c r="C12" s="9">
        <v>1</v>
      </c>
      <c r="D12" s="58"/>
      <c r="E12" s="1"/>
      <c r="R12" s="1"/>
      <c r="S12" s="1"/>
      <c r="AF12" s="1"/>
      <c r="AG12" s="1"/>
      <c r="AH12" s="1"/>
      <c r="AI12" s="1"/>
      <c r="AJ12" s="1"/>
      <c r="AK12" s="1"/>
    </row>
    <row r="13" spans="1:37" x14ac:dyDescent="0.35">
      <c r="A13">
        <v>4</v>
      </c>
      <c r="B13" s="7">
        <v>2</v>
      </c>
      <c r="C13" s="9">
        <v>1</v>
      </c>
      <c r="D13" s="58"/>
      <c r="E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</row>
    <row r="14" spans="1:37" x14ac:dyDescent="0.35">
      <c r="A14">
        <v>5</v>
      </c>
      <c r="B14" s="7">
        <v>2</v>
      </c>
      <c r="C14" s="9">
        <v>1</v>
      </c>
      <c r="D14" s="58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</row>
    <row r="15" spans="1:37" x14ac:dyDescent="0.35">
      <c r="A15">
        <v>6</v>
      </c>
      <c r="B15" s="7">
        <v>2</v>
      </c>
      <c r="C15" s="9">
        <v>1</v>
      </c>
      <c r="D15" s="58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</row>
    <row r="16" spans="1:37" x14ac:dyDescent="0.35">
      <c r="A16">
        <v>7</v>
      </c>
      <c r="B16" s="7">
        <v>2</v>
      </c>
      <c r="C16" s="9">
        <v>1</v>
      </c>
      <c r="D16" s="58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</row>
    <row r="17" spans="1:37" x14ac:dyDescent="0.35">
      <c r="A17">
        <v>8</v>
      </c>
      <c r="B17" s="7">
        <v>2</v>
      </c>
      <c r="C17" s="9">
        <v>1</v>
      </c>
      <c r="D17" s="58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</row>
    <row r="18" spans="1:37" x14ac:dyDescent="0.35">
      <c r="A18">
        <v>9</v>
      </c>
      <c r="B18" s="7">
        <v>2</v>
      </c>
      <c r="C18" s="9">
        <v>1</v>
      </c>
      <c r="D18" s="58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</row>
    <row r="19" spans="1:37" x14ac:dyDescent="0.35">
      <c r="A19">
        <v>10</v>
      </c>
      <c r="B19" s="7">
        <v>2</v>
      </c>
      <c r="C19" s="9">
        <v>1</v>
      </c>
      <c r="D19" s="58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</row>
    <row r="20" spans="1:37" x14ac:dyDescent="0.35">
      <c r="A20">
        <v>11</v>
      </c>
      <c r="B20" s="7">
        <v>2</v>
      </c>
      <c r="C20" s="9">
        <v>1</v>
      </c>
      <c r="D20" s="59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</row>
    <row r="21" spans="1:37" x14ac:dyDescent="0.35">
      <c r="A21">
        <v>12</v>
      </c>
      <c r="B21" s="7">
        <v>2</v>
      </c>
      <c r="C21" s="4"/>
      <c r="D21" t="s">
        <v>92</v>
      </c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</row>
    <row r="22" spans="1:37" x14ac:dyDescent="0.35">
      <c r="A22" s="2" t="s">
        <v>61</v>
      </c>
      <c r="B22" s="8"/>
      <c r="C22" s="4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</row>
    <row r="23" spans="1:37" x14ac:dyDescent="0.35">
      <c r="B23" s="8"/>
      <c r="C23" s="4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</row>
    <row r="24" spans="1:37" x14ac:dyDescent="0.35">
      <c r="B24" s="8"/>
      <c r="C24" s="4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</row>
    <row r="25" spans="1:37" x14ac:dyDescent="0.35">
      <c r="B25" s="8"/>
      <c r="C25" s="4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</row>
    <row r="26" spans="1:37" x14ac:dyDescent="0.35">
      <c r="B26" s="8"/>
      <c r="C26" s="4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</row>
    <row r="27" spans="1:37" x14ac:dyDescent="0.35">
      <c r="B27" s="8"/>
      <c r="C27" s="4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</row>
    <row r="28" spans="1:37" x14ac:dyDescent="0.35">
      <c r="A28" s="2" t="s">
        <v>62</v>
      </c>
      <c r="B28" s="8"/>
      <c r="C28" s="4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</row>
    <row r="29" spans="1:37" x14ac:dyDescent="0.35">
      <c r="B29" s="8"/>
      <c r="C29" s="4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</row>
    <row r="30" spans="1:37" x14ac:dyDescent="0.35">
      <c r="B30" s="8"/>
      <c r="C30" s="4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</row>
    <row r="31" spans="1:37" x14ac:dyDescent="0.35">
      <c r="B31" s="8"/>
      <c r="C31" s="4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</row>
    <row r="32" spans="1:37" x14ac:dyDescent="0.35">
      <c r="B32" s="8"/>
      <c r="C32" s="4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</row>
    <row r="33" spans="2:7" x14ac:dyDescent="0.35">
      <c r="B33" s="8"/>
      <c r="C33" s="4"/>
    </row>
    <row r="34" spans="2:7" x14ac:dyDescent="0.35">
      <c r="B34" s="8"/>
      <c r="C34" s="4"/>
      <c r="F34" s="2"/>
      <c r="G34" s="2"/>
    </row>
    <row r="35" spans="2:7" x14ac:dyDescent="0.35">
      <c r="B35" s="8"/>
      <c r="C35" s="4"/>
    </row>
    <row r="36" spans="2:7" x14ac:dyDescent="0.35">
      <c r="B36" s="8"/>
      <c r="C36" s="4"/>
    </row>
    <row r="37" spans="2:7" x14ac:dyDescent="0.35">
      <c r="B37" s="8"/>
      <c r="C37" s="4"/>
    </row>
    <row r="38" spans="2:7" x14ac:dyDescent="0.35">
      <c r="B38" s="8"/>
      <c r="C38" s="4"/>
    </row>
    <row r="39" spans="2:7" x14ac:dyDescent="0.35">
      <c r="B39" s="8"/>
      <c r="C39" s="4"/>
    </row>
  </sheetData>
  <mergeCells count="3">
    <mergeCell ref="A8:D8"/>
    <mergeCell ref="D11:D20"/>
    <mergeCell ref="M1:M5"/>
  </mergeCells>
  <pageMargins left="0.7" right="0.7" top="0.75" bottom="0.75" header="0.3" footer="0.3"/>
  <pageSetup paperSize="9" orientation="portrait" horizont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084C4-1D58-4A1E-801B-92B7393CB6A7}">
  <dimension ref="A1:N11"/>
  <sheetViews>
    <sheetView zoomScale="110" zoomScaleNormal="110" workbookViewId="0">
      <selection activeCell="I28" sqref="I28"/>
    </sheetView>
  </sheetViews>
  <sheetFormatPr baseColWidth="10" defaultRowHeight="14.5" x14ac:dyDescent="0.35"/>
  <cols>
    <col min="1" max="1" width="11.08984375" bestFit="1" customWidth="1"/>
    <col min="3" max="13" width="10.7265625" bestFit="1" customWidth="1"/>
    <col min="14" max="14" width="11.08984375" bestFit="1" customWidth="1"/>
  </cols>
  <sheetData>
    <row r="1" spans="1:14" x14ac:dyDescent="0.35">
      <c r="A1" s="42" t="s">
        <v>53</v>
      </c>
      <c r="B1" s="2" t="s">
        <v>72</v>
      </c>
      <c r="C1" s="48" t="s">
        <v>73</v>
      </c>
      <c r="D1" s="50">
        <v>1</v>
      </c>
      <c r="E1" s="50">
        <v>2</v>
      </c>
      <c r="F1" s="50">
        <v>3</v>
      </c>
      <c r="G1" s="50">
        <v>4</v>
      </c>
      <c r="H1" s="50">
        <v>5</v>
      </c>
      <c r="I1" s="50">
        <v>6</v>
      </c>
      <c r="J1" s="50">
        <v>7</v>
      </c>
      <c r="K1" s="50">
        <v>8</v>
      </c>
      <c r="L1" s="50">
        <v>9</v>
      </c>
      <c r="M1" s="50">
        <v>10</v>
      </c>
      <c r="N1" t="s">
        <v>74</v>
      </c>
    </row>
    <row r="2" spans="1:14" x14ac:dyDescent="0.35">
      <c r="A2" s="43">
        <f>SUM(C2:N2)</f>
        <v>0.99999999999999933</v>
      </c>
      <c r="B2">
        <v>1</v>
      </c>
      <c r="C2" s="49">
        <v>3.0155137489112999E-2</v>
      </c>
      <c r="D2" s="51">
        <v>0.75387843722782499</v>
      </c>
      <c r="E2" s="51">
        <v>0.16787471634169601</v>
      </c>
      <c r="F2" s="51">
        <v>3.7382579210665103E-2</v>
      </c>
      <c r="G2" s="51">
        <v>8.3244056413159795E-3</v>
      </c>
      <c r="H2" s="51">
        <v>1.8536906055143501E-3</v>
      </c>
      <c r="I2" s="51">
        <v>4.1278320529942601E-4</v>
      </c>
      <c r="J2" s="51">
        <v>9.1922236770269804E-5</v>
      </c>
      <c r="K2" s="51">
        <v>2.0481924220723501E-5</v>
      </c>
      <c r="L2" s="51">
        <v>4.6119372014281502E-6</v>
      </c>
      <c r="M2" s="51">
        <v>1.2341803778469701E-6</v>
      </c>
      <c r="N2" s="19">
        <v>0</v>
      </c>
    </row>
    <row r="3" spans="1:14" x14ac:dyDescent="0.35">
      <c r="A3" s="43">
        <f t="shared" ref="A3:A11" si="0">SUM(C3:N3)</f>
        <v>0.99999999999999867</v>
      </c>
      <c r="B3">
        <v>2</v>
      </c>
      <c r="C3" s="49">
        <v>7.4218295645802502E-3</v>
      </c>
      <c r="D3" s="51">
        <v>0.185545739114506</v>
      </c>
      <c r="E3" s="51">
        <v>0.62732130843475897</v>
      </c>
      <c r="F3" s="51">
        <v>0.139692795997748</v>
      </c>
      <c r="G3" s="51">
        <v>3.1106989501759701E-2</v>
      </c>
      <c r="H3" s="51">
        <v>6.9269491048167897E-3</v>
      </c>
      <c r="I3" s="51">
        <v>1.5425056619083801E-3</v>
      </c>
      <c r="J3" s="51">
        <v>3.4349888477311298E-4</v>
      </c>
      <c r="K3" s="51">
        <v>7.6537716824809094E-5</v>
      </c>
      <c r="L3" s="51">
        <v>1.7234081121126199E-5</v>
      </c>
      <c r="M3" s="51">
        <v>4.6119372014281502E-6</v>
      </c>
      <c r="N3" s="19">
        <v>0</v>
      </c>
    </row>
    <row r="4" spans="1:14" x14ac:dyDescent="0.35">
      <c r="A4" s="43">
        <f t="shared" si="0"/>
        <v>0.999999999999997</v>
      </c>
      <c r="B4">
        <v>3</v>
      </c>
      <c r="C4" s="49">
        <v>1.8266722916236301E-3</v>
      </c>
      <c r="D4" s="51">
        <v>4.5666807290590902E-2</v>
      </c>
      <c r="E4" s="51">
        <v>0.154397300839616</v>
      </c>
      <c r="F4" s="51">
        <v>0.62038513033544196</v>
      </c>
      <c r="G4" s="51">
        <v>0.13814823877319601</v>
      </c>
      <c r="H4" s="51">
        <v>3.0763048248300499E-2</v>
      </c>
      <c r="I4" s="51">
        <v>6.8503716979192797E-3</v>
      </c>
      <c r="J4" s="51">
        <v>1.5255017188107599E-3</v>
      </c>
      <c r="K4" s="51">
        <v>3.3990916345250598E-4</v>
      </c>
      <c r="L4" s="51">
        <v>7.6537716824808999E-5</v>
      </c>
      <c r="M4" s="51">
        <v>2.0481924220723501E-5</v>
      </c>
      <c r="N4" s="19">
        <v>0</v>
      </c>
    </row>
    <row r="5" spans="1:14" x14ac:dyDescent="0.35">
      <c r="A5" s="43">
        <f t="shared" si="0"/>
        <v>0.99999999999999867</v>
      </c>
      <c r="B5">
        <v>4</v>
      </c>
      <c r="C5" s="49">
        <v>4.4958344157589898E-4</v>
      </c>
      <c r="D5" s="51">
        <v>1.12395860393974E-2</v>
      </c>
      <c r="E5" s="51">
        <v>3.8000505180820002E-2</v>
      </c>
      <c r="F5" s="51">
        <v>0.15269015864405899</v>
      </c>
      <c r="G5" s="51">
        <v>0.62000498473951404</v>
      </c>
      <c r="H5" s="51">
        <v>0.13806360058662601</v>
      </c>
      <c r="I5" s="51">
        <v>3.0744254416455698E-2</v>
      </c>
      <c r="J5" s="51">
        <v>6.8464041111965098E-3</v>
      </c>
      <c r="K5" s="51">
        <v>1.5255017188107599E-3</v>
      </c>
      <c r="L5" s="51">
        <v>3.4349888477311298E-4</v>
      </c>
      <c r="M5" s="51">
        <v>9.1922236770269899E-5</v>
      </c>
      <c r="N5" s="19">
        <v>0</v>
      </c>
    </row>
    <row r="6" spans="1:14" x14ac:dyDescent="0.35">
      <c r="A6" s="43">
        <f t="shared" si="0"/>
        <v>0.99999999999999767</v>
      </c>
      <c r="B6">
        <v>5</v>
      </c>
      <c r="C6" s="49">
        <v>1.10652190407083E-4</v>
      </c>
      <c r="D6" s="51">
        <v>2.76630476017707E-3</v>
      </c>
      <c r="E6" s="51">
        <v>9.3527446653605892E-3</v>
      </c>
      <c r="F6" s="51">
        <v>3.7580344259004202E-2</v>
      </c>
      <c r="G6" s="51">
        <v>0.152596611174691</v>
      </c>
      <c r="H6" s="51">
        <v>0.61998421260958003</v>
      </c>
      <c r="I6" s="51">
        <v>0.13805921535919499</v>
      </c>
      <c r="J6" s="51">
        <v>3.0744254416455698E-2</v>
      </c>
      <c r="K6" s="51">
        <v>6.8503716979192901E-3</v>
      </c>
      <c r="L6" s="51">
        <v>1.5425056619083801E-3</v>
      </c>
      <c r="M6" s="51">
        <v>4.1278320529942601E-4</v>
      </c>
      <c r="N6" s="19">
        <v>0</v>
      </c>
    </row>
    <row r="7" spans="1:14" x14ac:dyDescent="0.35">
      <c r="A7" s="43">
        <f t="shared" si="0"/>
        <v>0.99999999999999922</v>
      </c>
      <c r="B7">
        <v>6</v>
      </c>
      <c r="C7" s="49">
        <v>2.7233940186504501E-5</v>
      </c>
      <c r="D7" s="51">
        <v>6.8084850466261298E-4</v>
      </c>
      <c r="E7" s="51">
        <v>2.3019163729069299E-3</v>
      </c>
      <c r="F7" s="51">
        <v>9.2493500939540008E-3</v>
      </c>
      <c r="G7" s="51">
        <v>3.7557385589077501E-2</v>
      </c>
      <c r="H7" s="51">
        <v>0.15259176434437399</v>
      </c>
      <c r="I7" s="51">
        <v>0.61998421260958003</v>
      </c>
      <c r="J7" s="51">
        <v>0.13806360058662601</v>
      </c>
      <c r="K7" s="51">
        <v>3.0763048248300499E-2</v>
      </c>
      <c r="L7" s="51">
        <v>6.9269491048167897E-3</v>
      </c>
      <c r="M7" s="51">
        <v>1.8536906055143501E-3</v>
      </c>
      <c r="N7" s="19">
        <v>0</v>
      </c>
    </row>
    <row r="8" spans="1:14" x14ac:dyDescent="0.35">
      <c r="A8" s="43">
        <f t="shared" si="0"/>
        <v>0.99999999999999789</v>
      </c>
      <c r="B8">
        <v>7</v>
      </c>
      <c r="C8" s="49">
        <v>6.7030851703507102E-6</v>
      </c>
      <c r="D8" s="51">
        <v>1.6757712925876799E-4</v>
      </c>
      <c r="E8" s="51">
        <v>5.6657029416059602E-4</v>
      </c>
      <c r="F8" s="51">
        <v>2.2765410008827101E-3</v>
      </c>
      <c r="G8" s="51">
        <v>9.2439930709711099E-3</v>
      </c>
      <c r="H8" s="51">
        <v>3.7557385589077501E-2</v>
      </c>
      <c r="I8" s="51">
        <v>0.152596611174691</v>
      </c>
      <c r="J8" s="51">
        <v>0.62000498473951404</v>
      </c>
      <c r="K8" s="51">
        <v>0.13814823877319601</v>
      </c>
      <c r="L8" s="51">
        <v>3.1106989501759701E-2</v>
      </c>
      <c r="M8" s="51">
        <v>8.3244056413159899E-3</v>
      </c>
      <c r="N8" s="19">
        <v>0</v>
      </c>
    </row>
    <row r="9" spans="1:14" x14ac:dyDescent="0.35">
      <c r="A9" s="43">
        <f t="shared" si="0"/>
        <v>0.99999999999999845</v>
      </c>
      <c r="B9">
        <v>8</v>
      </c>
      <c r="C9" s="49">
        <v>1.6507853376299901E-6</v>
      </c>
      <c r="D9" s="51">
        <v>4.1269633440749697E-5</v>
      </c>
      <c r="E9" s="51">
        <v>1.3953066544253399E-4</v>
      </c>
      <c r="F9" s="51">
        <v>5.6064937402161401E-4</v>
      </c>
      <c r="G9" s="51">
        <v>2.2765410008827101E-3</v>
      </c>
      <c r="H9" s="51">
        <v>9.2493500939540008E-3</v>
      </c>
      <c r="I9" s="51">
        <v>3.7580344259004202E-2</v>
      </c>
      <c r="J9" s="51">
        <v>0.15269015864405899</v>
      </c>
      <c r="K9" s="51">
        <v>0.62038513033544296</v>
      </c>
      <c r="L9" s="51">
        <v>0.139692795997748</v>
      </c>
      <c r="M9" s="51">
        <v>3.7382579210665103E-2</v>
      </c>
      <c r="N9" s="19">
        <v>0</v>
      </c>
    </row>
    <row r="10" spans="1:14" x14ac:dyDescent="0.35">
      <c r="A10" s="43">
        <f t="shared" si="0"/>
        <v>0.99999999999999944</v>
      </c>
      <c r="B10">
        <v>9</v>
      </c>
      <c r="C10" s="49">
        <v>4.1083641101757799E-7</v>
      </c>
      <c r="D10" s="51">
        <v>1.02709102754394E-5</v>
      </c>
      <c r="E10" s="51">
        <v>3.47254585502953E-5</v>
      </c>
      <c r="F10" s="51">
        <v>1.3953066544253399E-4</v>
      </c>
      <c r="G10" s="51">
        <v>5.6657029416059602E-4</v>
      </c>
      <c r="H10" s="51">
        <v>2.3019163729069299E-3</v>
      </c>
      <c r="I10" s="51">
        <v>9.3527446653605892E-3</v>
      </c>
      <c r="J10" s="51">
        <v>3.8000505180820002E-2</v>
      </c>
      <c r="K10" s="51">
        <v>0.154397300839617</v>
      </c>
      <c r="L10" s="51">
        <v>0.62732130843475897</v>
      </c>
      <c r="M10" s="51">
        <v>0.16787471634169601</v>
      </c>
      <c r="N10" s="19">
        <v>0</v>
      </c>
    </row>
    <row r="11" spans="1:14" x14ac:dyDescent="0.35">
      <c r="A11" s="43">
        <f t="shared" si="0"/>
        <v>0.99999999999999889</v>
      </c>
      <c r="B11">
        <v>10</v>
      </c>
      <c r="C11" s="49">
        <v>1.2151499480801601E-7</v>
      </c>
      <c r="D11" s="51">
        <v>3.0378748702003998E-6</v>
      </c>
      <c r="E11" s="51">
        <v>1.02709102754394E-5</v>
      </c>
      <c r="F11" s="51">
        <v>4.1269633440749697E-5</v>
      </c>
      <c r="G11" s="51">
        <v>1.6757712925876799E-4</v>
      </c>
      <c r="H11" s="51">
        <v>6.8084850466261298E-4</v>
      </c>
      <c r="I11" s="51">
        <v>2.76630476017707E-3</v>
      </c>
      <c r="J11" s="51">
        <v>1.12395860393974E-2</v>
      </c>
      <c r="K11" s="51">
        <v>4.5666807290590902E-2</v>
      </c>
      <c r="L11" s="51">
        <v>0.185545739114506</v>
      </c>
      <c r="M11" s="51">
        <v>0.75387843722782499</v>
      </c>
      <c r="N11" s="19">
        <v>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BB57A-DA42-4CE1-A200-4E82C9122750}">
  <dimension ref="A1:N51"/>
  <sheetViews>
    <sheetView tabSelected="1" zoomScaleNormal="100" workbookViewId="0">
      <selection activeCell="D8" sqref="D8"/>
    </sheetView>
  </sheetViews>
  <sheetFormatPr baseColWidth="10" defaultRowHeight="14.5" x14ac:dyDescent="0.35"/>
  <cols>
    <col min="1" max="1" width="20.1796875" customWidth="1"/>
    <col min="2" max="2" width="14.81640625" customWidth="1"/>
    <col min="3" max="3" width="14.90625" customWidth="1"/>
    <col min="4" max="4" width="15" customWidth="1"/>
    <col min="6" max="6" width="13.26953125" customWidth="1"/>
    <col min="7" max="7" width="14.6328125" customWidth="1"/>
    <col min="8" max="8" width="13.7265625" customWidth="1"/>
    <col min="9" max="9" width="13.54296875" customWidth="1"/>
    <col min="13" max="13" width="13.36328125" customWidth="1"/>
    <col min="14" max="14" width="14.26953125" customWidth="1"/>
  </cols>
  <sheetData>
    <row r="1" spans="1:14" x14ac:dyDescent="0.35">
      <c r="A1" s="2" t="s">
        <v>69</v>
      </c>
      <c r="B1">
        <v>1</v>
      </c>
      <c r="E1" t="str">
        <f>'wat types'!$A$3</f>
        <v xml:space="preserve">          cl-            </v>
      </c>
      <c r="F1" t="str">
        <f>'wat types'!$A$4</f>
        <v xml:space="preserve">          ch2o(aq)       </v>
      </c>
      <c r="G1" t="str">
        <f>'wat types'!$A$5</f>
        <v xml:space="preserve">          h+             </v>
      </c>
      <c r="H1" t="str">
        <f>'wat types'!$A$6</f>
        <v xml:space="preserve">          no3-           </v>
      </c>
      <c r="I1" t="str">
        <f>'wat types'!$A$7</f>
        <v xml:space="preserve">          n2(aq)(p)      </v>
      </c>
      <c r="J1" t="str">
        <f>'wat types'!$A$8</f>
        <v xml:space="preserve">          ca+2           </v>
      </c>
      <c r="K1" t="str">
        <f>'wat types'!$A$9</f>
        <v xml:space="preserve">          hco3-          </v>
      </c>
      <c r="L1" t="str">
        <f>'wat types'!$A$10</f>
        <v xml:space="preserve">          o2(aq)         </v>
      </c>
      <c r="M1" t="str">
        <f>'wat types'!$A$11</f>
        <v xml:space="preserve">          co3-2          </v>
      </c>
      <c r="N1" t="str">
        <f t="shared" ref="N1" si="0">L30</f>
        <v>h2o</v>
      </c>
    </row>
    <row r="2" spans="1:14" x14ac:dyDescent="0.35">
      <c r="A2" s="11"/>
      <c r="D2" s="61" t="s">
        <v>112</v>
      </c>
      <c r="E2">
        <v>0</v>
      </c>
      <c r="F2">
        <v>-1</v>
      </c>
      <c r="G2">
        <v>1</v>
      </c>
      <c r="H2">
        <v>0</v>
      </c>
      <c r="I2">
        <v>0</v>
      </c>
      <c r="J2">
        <v>0</v>
      </c>
      <c r="K2">
        <v>1</v>
      </c>
      <c r="L2">
        <v>-1</v>
      </c>
      <c r="M2">
        <v>0</v>
      </c>
      <c r="N2">
        <v>0</v>
      </c>
    </row>
    <row r="3" spans="1:14" x14ac:dyDescent="0.35">
      <c r="A3" s="13" t="s">
        <v>33</v>
      </c>
      <c r="B3" t="str">
        <f>'wat types'!$A$2</f>
        <v xml:space="preserve">          h2o(p)         </v>
      </c>
      <c r="D3" s="61"/>
      <c r="E3">
        <v>0</v>
      </c>
      <c r="F3">
        <v>-1</v>
      </c>
      <c r="G3">
        <v>0.2</v>
      </c>
      <c r="H3">
        <v>-0.8</v>
      </c>
      <c r="I3">
        <v>0.4</v>
      </c>
      <c r="J3">
        <v>0</v>
      </c>
      <c r="K3">
        <v>1</v>
      </c>
      <c r="L3">
        <v>0</v>
      </c>
      <c r="M3">
        <v>0</v>
      </c>
      <c r="N3">
        <v>0.4</v>
      </c>
    </row>
    <row r="4" spans="1:14" x14ac:dyDescent="0.35">
      <c r="A4" s="13"/>
      <c r="B4" t="str">
        <f>'wat types'!$A$3</f>
        <v xml:space="preserve">          cl-            </v>
      </c>
      <c r="D4" s="11"/>
    </row>
    <row r="5" spans="1:14" x14ac:dyDescent="0.35">
      <c r="A5" s="11"/>
      <c r="B5" t="str">
        <f>'wat types'!$A$4</f>
        <v xml:space="preserve">          ch2o(aq)       </v>
      </c>
      <c r="D5" t="s">
        <v>54</v>
      </c>
      <c r="E5" s="36">
        <v>0.5</v>
      </c>
      <c r="F5" t="s">
        <v>55</v>
      </c>
      <c r="G5" s="1">
        <v>1E-3</v>
      </c>
      <c r="H5" t="s">
        <v>56</v>
      </c>
      <c r="I5" s="1">
        <v>1.0000000000000001E-5</v>
      </c>
    </row>
    <row r="6" spans="1:14" x14ac:dyDescent="0.35">
      <c r="A6" s="11"/>
      <c r="B6" t="str">
        <f>'wat types'!$A$5</f>
        <v xml:space="preserve">          h+             </v>
      </c>
      <c r="D6" t="s">
        <v>57</v>
      </c>
      <c r="E6" s="36">
        <v>2</v>
      </c>
      <c r="F6" t="s">
        <v>55</v>
      </c>
      <c r="G6" s="1">
        <v>1.4E-3</v>
      </c>
      <c r="H6" t="s">
        <v>59</v>
      </c>
      <c r="I6" s="1">
        <v>5.8999999999999999E-3</v>
      </c>
      <c r="J6" t="s">
        <v>58</v>
      </c>
      <c r="K6" s="1">
        <v>2.5199999999999999E-5</v>
      </c>
    </row>
    <row r="7" spans="1:14" x14ac:dyDescent="0.35">
      <c r="A7" s="11"/>
      <c r="B7" t="str">
        <f>'wat types'!$A$6</f>
        <v xml:space="preserve">          no3-           </v>
      </c>
    </row>
    <row r="8" spans="1:14" x14ac:dyDescent="0.35">
      <c r="A8" s="11"/>
      <c r="B8" t="str">
        <f>'wat types'!$A$7</f>
        <v xml:space="preserve">          n2(aq)(p)      </v>
      </c>
    </row>
    <row r="9" spans="1:14" x14ac:dyDescent="0.35">
      <c r="A9" s="11"/>
      <c r="B9" t="str">
        <f>'wat types'!$A$8</f>
        <v xml:space="preserve">          ca+2           </v>
      </c>
    </row>
    <row r="10" spans="1:14" x14ac:dyDescent="0.35">
      <c r="B10" t="str">
        <f>'wat types'!$A$9</f>
        <v xml:space="preserve">          hco3-          </v>
      </c>
    </row>
    <row r="11" spans="1:14" x14ac:dyDescent="0.35">
      <c r="B11" t="str">
        <f>'wat types'!$A$10</f>
        <v xml:space="preserve">          o2(aq)         </v>
      </c>
    </row>
    <row r="12" spans="1:14" x14ac:dyDescent="0.35">
      <c r="B12" t="str">
        <f>'wat types'!$A$11</f>
        <v xml:space="preserve">          co3-2          </v>
      </c>
      <c r="E12" s="10"/>
    </row>
    <row r="14" spans="1:14" x14ac:dyDescent="0.35">
      <c r="A14" s="2" t="s">
        <v>34</v>
      </c>
      <c r="B14" t="s">
        <v>32</v>
      </c>
    </row>
    <row r="15" spans="1:14" x14ac:dyDescent="0.35">
      <c r="A15" s="2"/>
      <c r="C15" s="2" t="s">
        <v>41</v>
      </c>
    </row>
    <row r="16" spans="1:14" x14ac:dyDescent="0.35">
      <c r="A16" s="2" t="s">
        <v>35</v>
      </c>
      <c r="B16" t="s">
        <v>31</v>
      </c>
      <c r="C16" s="1">
        <v>3.5E-4</v>
      </c>
    </row>
    <row r="17" spans="1:14" x14ac:dyDescent="0.35">
      <c r="A17" s="2"/>
      <c r="B17" t="s">
        <v>20</v>
      </c>
      <c r="C17" s="1">
        <v>0.2</v>
      </c>
    </row>
    <row r="18" spans="1:14" x14ac:dyDescent="0.35">
      <c r="C18" s="1"/>
    </row>
    <row r="19" spans="1:14" x14ac:dyDescent="0.35">
      <c r="A19" s="2" t="s">
        <v>13</v>
      </c>
      <c r="B19" s="14" t="s">
        <v>14</v>
      </c>
    </row>
    <row r="20" spans="1:14" x14ac:dyDescent="0.35">
      <c r="G20" s="2" t="s">
        <v>18</v>
      </c>
      <c r="H20" s="2" t="s">
        <v>42</v>
      </c>
    </row>
    <row r="21" spans="1:14" x14ac:dyDescent="0.35">
      <c r="A21" s="2" t="s">
        <v>27</v>
      </c>
      <c r="B21" t="s">
        <v>32</v>
      </c>
      <c r="G21" s="20">
        <f>1/H21</f>
        <v>1.4167721135183648E-2</v>
      </c>
      <c r="H21" s="20">
        <f>10^(1.8487)</f>
        <v>70.582981585982324</v>
      </c>
    </row>
    <row r="22" spans="1:14" x14ac:dyDescent="0.35">
      <c r="B22" t="s">
        <v>31</v>
      </c>
      <c r="G22" s="20">
        <f>1/(H22*C16)</f>
        <v>186008142409.96078</v>
      </c>
      <c r="H22" s="20">
        <f>10^(-7.8136)</f>
        <v>1.5360310683850236E-8</v>
      </c>
    </row>
    <row r="23" spans="1:14" x14ac:dyDescent="0.35">
      <c r="B23" t="s">
        <v>20</v>
      </c>
      <c r="G23" s="20">
        <f>1/(H23*C17)</f>
        <v>3953.3931399991297</v>
      </c>
      <c r="H23" s="20">
        <f>10^(-2.898)</f>
        <v>1.26473634747115E-3</v>
      </c>
    </row>
    <row r="24" spans="1:14" x14ac:dyDescent="0.35">
      <c r="B24" t="s">
        <v>23</v>
      </c>
      <c r="G24" s="20">
        <f>1/H24</f>
        <v>4.6902932840593767E-11</v>
      </c>
      <c r="H24" s="20">
        <f>10^(10.3288)</f>
        <v>21320628358.116562</v>
      </c>
    </row>
    <row r="26" spans="1:14" x14ac:dyDescent="0.35">
      <c r="A26" s="2" t="s">
        <v>28</v>
      </c>
      <c r="B26" t="s">
        <v>29</v>
      </c>
    </row>
    <row r="27" spans="1:14" x14ac:dyDescent="0.35">
      <c r="B27" t="s">
        <v>30</v>
      </c>
    </row>
    <row r="29" spans="1:14" x14ac:dyDescent="0.35">
      <c r="A29" s="2" t="s">
        <v>111</v>
      </c>
    </row>
    <row r="30" spans="1:14" x14ac:dyDescent="0.35">
      <c r="C30" t="str">
        <f>'wat types'!$A$3</f>
        <v xml:space="preserve">          cl-            </v>
      </c>
      <c r="D30" t="str">
        <f>'wat types'!$A$4</f>
        <v xml:space="preserve">          ch2o(aq)       </v>
      </c>
      <c r="E30" t="str">
        <f>'wat types'!$A$5</f>
        <v xml:space="preserve">          h+             </v>
      </c>
      <c r="F30" t="str">
        <f>'wat types'!$A$6</f>
        <v xml:space="preserve">          no3-           </v>
      </c>
      <c r="G30" t="str">
        <f>'wat types'!$A$7</f>
        <v xml:space="preserve">          n2(aq)(p)      </v>
      </c>
      <c r="H30" t="str">
        <f>'wat types'!$A$8</f>
        <v xml:space="preserve">          ca+2           </v>
      </c>
      <c r="I30" t="str">
        <f>$B$11</f>
        <v xml:space="preserve">          o2(aq)         </v>
      </c>
      <c r="J30" t="str">
        <f>$B$10</f>
        <v xml:space="preserve">          hco3-          </v>
      </c>
      <c r="K30" t="str">
        <f>'wat types'!$A$11</f>
        <v xml:space="preserve">          co3-2          </v>
      </c>
      <c r="L30" t="s">
        <v>5</v>
      </c>
      <c r="M30" t="s">
        <v>32</v>
      </c>
      <c r="N30" s="2" t="s">
        <v>18</v>
      </c>
    </row>
    <row r="31" spans="1:14" x14ac:dyDescent="0.35">
      <c r="B31" s="61" t="s">
        <v>40</v>
      </c>
      <c r="C31">
        <v>0</v>
      </c>
      <c r="D31">
        <v>0</v>
      </c>
      <c r="E31">
        <v>1</v>
      </c>
      <c r="F31">
        <v>0</v>
      </c>
      <c r="G31">
        <v>0</v>
      </c>
      <c r="H31">
        <v>-1</v>
      </c>
      <c r="I31">
        <v>0</v>
      </c>
      <c r="J31">
        <v>-1</v>
      </c>
      <c r="K31">
        <v>0</v>
      </c>
      <c r="L31">
        <v>0</v>
      </c>
      <c r="M31">
        <v>1</v>
      </c>
      <c r="N31" s="20">
        <f>1/H21</f>
        <v>1.4167721135183648E-2</v>
      </c>
    </row>
    <row r="32" spans="1:14" x14ac:dyDescent="0.35">
      <c r="B32" s="61"/>
      <c r="C32">
        <v>0</v>
      </c>
      <c r="D32">
        <v>0</v>
      </c>
      <c r="E32">
        <v>1</v>
      </c>
      <c r="F32">
        <v>0</v>
      </c>
      <c r="G32">
        <v>0</v>
      </c>
      <c r="H32">
        <v>0</v>
      </c>
      <c r="I32">
        <v>0</v>
      </c>
      <c r="J32">
        <v>-1</v>
      </c>
      <c r="K32">
        <v>1</v>
      </c>
      <c r="L32">
        <v>0</v>
      </c>
      <c r="M32">
        <v>0</v>
      </c>
      <c r="N32" s="20">
        <f>1/H24</f>
        <v>4.6902932840593767E-11</v>
      </c>
    </row>
    <row r="33" spans="2:11" x14ac:dyDescent="0.35">
      <c r="B33" s="12"/>
    </row>
    <row r="34" spans="2:11" x14ac:dyDescent="0.35">
      <c r="B34" s="61" t="s">
        <v>16</v>
      </c>
      <c r="C34">
        <v>1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</row>
    <row r="35" spans="2:11" x14ac:dyDescent="0.35">
      <c r="B35" s="61"/>
      <c r="C35">
        <v>0</v>
      </c>
      <c r="D35">
        <v>1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</row>
    <row r="36" spans="2:11" x14ac:dyDescent="0.35">
      <c r="B36" s="61"/>
      <c r="C36">
        <v>0</v>
      </c>
      <c r="D36">
        <v>0</v>
      </c>
      <c r="E36">
        <v>1</v>
      </c>
      <c r="F36">
        <v>0</v>
      </c>
      <c r="G36">
        <v>0</v>
      </c>
      <c r="H36">
        <v>0</v>
      </c>
      <c r="I36">
        <v>0</v>
      </c>
      <c r="J36">
        <v>1</v>
      </c>
      <c r="K36">
        <v>0</v>
      </c>
    </row>
    <row r="37" spans="2:11" x14ac:dyDescent="0.35">
      <c r="B37" s="61"/>
      <c r="C37">
        <v>0</v>
      </c>
      <c r="D37">
        <v>0</v>
      </c>
      <c r="E37">
        <v>0</v>
      </c>
      <c r="F37">
        <v>1</v>
      </c>
      <c r="G37">
        <v>0</v>
      </c>
      <c r="H37">
        <v>0</v>
      </c>
      <c r="I37">
        <v>0</v>
      </c>
      <c r="J37">
        <v>0</v>
      </c>
      <c r="K37">
        <v>0</v>
      </c>
    </row>
    <row r="38" spans="2:11" x14ac:dyDescent="0.35">
      <c r="B38" s="61"/>
      <c r="C38">
        <v>0</v>
      </c>
      <c r="D38">
        <v>0</v>
      </c>
      <c r="E38">
        <v>0</v>
      </c>
      <c r="F38">
        <v>0</v>
      </c>
      <c r="G38">
        <v>1</v>
      </c>
      <c r="H38">
        <v>0</v>
      </c>
      <c r="I38">
        <v>0</v>
      </c>
      <c r="J38">
        <v>0</v>
      </c>
      <c r="K38">
        <v>0</v>
      </c>
    </row>
    <row r="39" spans="2:11" x14ac:dyDescent="0.35">
      <c r="B39" s="61"/>
      <c r="C39">
        <v>0</v>
      </c>
      <c r="D39">
        <v>0</v>
      </c>
      <c r="E39">
        <v>0</v>
      </c>
      <c r="F39">
        <v>0</v>
      </c>
      <c r="G39">
        <v>0</v>
      </c>
      <c r="H39">
        <v>1</v>
      </c>
      <c r="I39">
        <v>0</v>
      </c>
      <c r="J39">
        <v>-1</v>
      </c>
      <c r="K39">
        <v>-1</v>
      </c>
    </row>
    <row r="40" spans="2:11" x14ac:dyDescent="0.35">
      <c r="B40" s="61"/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1</v>
      </c>
      <c r="J40">
        <v>0</v>
      </c>
      <c r="K40">
        <v>0</v>
      </c>
    </row>
    <row r="42" spans="2:11" x14ac:dyDescent="0.35">
      <c r="B42" s="2" t="s">
        <v>36</v>
      </c>
      <c r="C42" t="s">
        <v>32</v>
      </c>
    </row>
    <row r="43" spans="2:11" x14ac:dyDescent="0.35">
      <c r="C43" t="s">
        <v>4</v>
      </c>
    </row>
    <row r="45" spans="2:11" x14ac:dyDescent="0.35">
      <c r="B45" s="2" t="s">
        <v>17</v>
      </c>
      <c r="C45" t="str">
        <f>'wat types'!$A$3</f>
        <v xml:space="preserve">          cl-            </v>
      </c>
    </row>
    <row r="46" spans="2:11" x14ac:dyDescent="0.35">
      <c r="B46" s="2"/>
      <c r="C46" t="str">
        <f>'wat types'!$A$4</f>
        <v xml:space="preserve">          ch2o(aq)       </v>
      </c>
    </row>
    <row r="47" spans="2:11" x14ac:dyDescent="0.35">
      <c r="C47" t="str">
        <f>'wat types'!$A$5</f>
        <v xml:space="preserve">          h+             </v>
      </c>
    </row>
    <row r="48" spans="2:11" x14ac:dyDescent="0.35">
      <c r="C48" t="str">
        <f>'wat types'!$A$6</f>
        <v xml:space="preserve">          no3-           </v>
      </c>
    </row>
    <row r="49" spans="3:3" x14ac:dyDescent="0.35">
      <c r="C49" t="str">
        <f>'wat types'!$A$7</f>
        <v xml:space="preserve">          n2(aq)(p)      </v>
      </c>
    </row>
    <row r="50" spans="3:3" x14ac:dyDescent="0.35">
      <c r="C50" t="str">
        <f>'wat types'!$A$8</f>
        <v xml:space="preserve">          ca+2           </v>
      </c>
    </row>
    <row r="51" spans="3:3" x14ac:dyDescent="0.35">
      <c r="C51" t="str">
        <f>$B$11</f>
        <v xml:space="preserve">          o2(aq)         </v>
      </c>
    </row>
  </sheetData>
  <mergeCells count="3">
    <mergeCell ref="D2:D3"/>
    <mergeCell ref="B31:B32"/>
    <mergeCell ref="B34:B40"/>
  </mergeCells>
  <pageMargins left="0.7" right="0.7" top="0.75" bottom="0.75" header="0.3" footer="0.3"/>
  <pageSetup paperSize="9" orientation="portrait" horizontalDpi="300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3FB5D5-CD42-40C0-9A9D-DE1896072916}">
  <dimension ref="A1:D15"/>
  <sheetViews>
    <sheetView zoomScale="130" zoomScaleNormal="130" workbookViewId="0">
      <selection activeCell="E3" sqref="E3"/>
    </sheetView>
  </sheetViews>
  <sheetFormatPr baseColWidth="10" defaultRowHeight="14.5" x14ac:dyDescent="0.35"/>
  <cols>
    <col min="1" max="2" width="19.54296875" customWidth="1"/>
    <col min="3" max="3" width="15.54296875" customWidth="1"/>
    <col min="4" max="4" width="12" bestFit="1" customWidth="1"/>
  </cols>
  <sheetData>
    <row r="1" spans="1:4" x14ac:dyDescent="0.35">
      <c r="A1" s="2" t="s">
        <v>38</v>
      </c>
      <c r="B1" s="2" t="s">
        <v>52</v>
      </c>
      <c r="C1" s="2" t="s">
        <v>86</v>
      </c>
    </row>
    <row r="2" spans="1:4" x14ac:dyDescent="0.35">
      <c r="A2" t="s">
        <v>76</v>
      </c>
      <c r="B2" s="39">
        <v>55.555599999999998</v>
      </c>
      <c r="C2" s="40">
        <v>55.555599999999998</v>
      </c>
      <c r="D2" s="20"/>
    </row>
    <row r="3" spans="1:4" x14ac:dyDescent="0.35">
      <c r="A3" t="s">
        <v>77</v>
      </c>
      <c r="B3" s="39">
        <v>1E-3</v>
      </c>
      <c r="C3" s="40">
        <v>9.9999999999999998E-17</v>
      </c>
      <c r="D3" s="20"/>
    </row>
    <row r="4" spans="1:4" x14ac:dyDescent="0.35">
      <c r="A4" t="s">
        <v>78</v>
      </c>
      <c r="B4" s="39">
        <v>2E-3</v>
      </c>
      <c r="C4" s="41">
        <v>1.0000000000000001E-5</v>
      </c>
    </row>
    <row r="5" spans="1:4" x14ac:dyDescent="0.35">
      <c r="A5" t="s">
        <v>79</v>
      </c>
      <c r="B5" s="39">
        <v>1E-8</v>
      </c>
      <c r="C5" s="41">
        <v>9.9999999999999995E-8</v>
      </c>
    </row>
    <row r="6" spans="1:4" x14ac:dyDescent="0.35">
      <c r="A6" t="s">
        <v>80</v>
      </c>
      <c r="B6" s="39">
        <v>1E-3</v>
      </c>
      <c r="C6" s="40">
        <v>1.0000000000000001E-5</v>
      </c>
    </row>
    <row r="7" spans="1:4" x14ac:dyDescent="0.35">
      <c r="A7" t="s">
        <v>81</v>
      </c>
      <c r="B7" s="39">
        <v>9.9999999999999998E-17</v>
      </c>
      <c r="C7" s="40">
        <v>9.9999999999999998E-17</v>
      </c>
    </row>
    <row r="8" spans="1:4" x14ac:dyDescent="0.35">
      <c r="A8" t="s">
        <v>82</v>
      </c>
      <c r="B8" s="39">
        <v>1.3129000000000001E-3</v>
      </c>
      <c r="C8" s="40">
        <v>7.0583E-3</v>
      </c>
    </row>
    <row r="9" spans="1:4" x14ac:dyDescent="0.35">
      <c r="A9" t="s">
        <v>83</v>
      </c>
      <c r="B9" s="39">
        <v>5.3761100000000001E-4</v>
      </c>
      <c r="C9" s="40">
        <v>1E-3</v>
      </c>
    </row>
    <row r="10" spans="1:4" x14ac:dyDescent="0.35">
      <c r="A10" t="s">
        <v>84</v>
      </c>
      <c r="B10" s="39">
        <v>2.52947E-4</v>
      </c>
      <c r="C10" s="40">
        <v>9.9999999999999995E-7</v>
      </c>
    </row>
    <row r="11" spans="1:4" x14ac:dyDescent="0.35">
      <c r="A11" t="s">
        <v>85</v>
      </c>
      <c r="B11" s="39">
        <v>2.52155E-6</v>
      </c>
      <c r="C11" s="40">
        <v>4.6902899999999998E-7</v>
      </c>
    </row>
    <row r="12" spans="1:4" x14ac:dyDescent="0.35">
      <c r="A12" s="2" t="s">
        <v>87</v>
      </c>
    </row>
    <row r="13" spans="1:4" x14ac:dyDescent="0.35">
      <c r="A13" t="s">
        <v>32</v>
      </c>
      <c r="B13">
        <f>ABS(1-B8*B9/(B5*chem!$H$21))</f>
        <v>4.7314496465222788E-7</v>
      </c>
      <c r="C13">
        <f>ABS(1-C8*C9/(C5*chem!$H$21))</f>
        <v>2.6088466742457683E-7</v>
      </c>
    </row>
    <row r="14" spans="1:4" x14ac:dyDescent="0.35">
      <c r="A14" t="s">
        <v>31</v>
      </c>
      <c r="B14">
        <f>ABS(1-B5*B9/(chem!$C$16*chem!$H$22))</f>
        <v>2.3449161434818677E-7</v>
      </c>
    </row>
    <row r="15" spans="1:4" x14ac:dyDescent="0.35">
      <c r="A15" t="s">
        <v>20</v>
      </c>
      <c r="B15">
        <f>ABS(1-B10/(chem!$C$17*chem!$H$23))</f>
        <v>1.0654166401335985E-6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52B3F-D4BB-46F3-A363-F13FE4905870}">
  <dimension ref="A1:AF102"/>
  <sheetViews>
    <sheetView zoomScaleNormal="100" workbookViewId="0">
      <selection activeCell="L38" sqref="L38"/>
    </sheetView>
  </sheetViews>
  <sheetFormatPr baseColWidth="10" defaultRowHeight="14.5" x14ac:dyDescent="0.35"/>
  <cols>
    <col min="1" max="1" width="15.26953125" customWidth="1"/>
    <col min="2" max="2" width="13.7265625" customWidth="1"/>
    <col min="3" max="3" width="16" customWidth="1"/>
    <col min="4" max="5" width="14" customWidth="1"/>
    <col min="6" max="6" width="14.08984375" customWidth="1"/>
    <col min="7" max="7" width="13.81640625" customWidth="1"/>
    <col min="8" max="8" width="14.08984375" customWidth="1"/>
    <col min="9" max="9" width="14.81640625" customWidth="1"/>
    <col min="10" max="10" width="15" customWidth="1"/>
    <col min="11" max="11" width="14" customWidth="1"/>
    <col min="12" max="12" width="14" style="26" customWidth="1"/>
    <col min="13" max="13" width="15.7265625" customWidth="1"/>
    <col min="14" max="14" width="18" customWidth="1"/>
    <col min="15" max="17" width="14.08984375" customWidth="1"/>
    <col min="18" max="20" width="15.26953125" customWidth="1"/>
    <col min="21" max="21" width="13.08984375" customWidth="1"/>
    <col min="22" max="22" width="13.81640625" customWidth="1"/>
  </cols>
  <sheetData>
    <row r="1" spans="1:32" x14ac:dyDescent="0.35">
      <c r="A1" s="2" t="s">
        <v>75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32" x14ac:dyDescent="0.35">
      <c r="A2" s="2" t="s">
        <v>3</v>
      </c>
      <c r="B2">
        <f>transport!$B$1*(B$1-0.5)</f>
        <v>0.05</v>
      </c>
      <c r="C2">
        <f>transport!$B$1*(C$1-0.5)</f>
        <v>0.15000000000000002</v>
      </c>
      <c r="D2">
        <f>transport!$B$1*(D$1-0.5)</f>
        <v>0.25</v>
      </c>
      <c r="E2">
        <f>transport!$B$1*(E$1-0.5)</f>
        <v>0.35000000000000003</v>
      </c>
      <c r="F2">
        <f>transport!$B$1*(F$1-0.5)</f>
        <v>0.45</v>
      </c>
      <c r="G2">
        <f>transport!$B$1*(G$1-0.5)</f>
        <v>0.55000000000000004</v>
      </c>
      <c r="H2">
        <f>transport!$B$1*(H$1-0.5)</f>
        <v>0.65</v>
      </c>
      <c r="I2">
        <f>transport!$B$1*(I$1-0.5)</f>
        <v>0.75</v>
      </c>
      <c r="J2">
        <f>transport!$B$1*(J$1-0.5)</f>
        <v>0.85000000000000009</v>
      </c>
      <c r="K2">
        <f>transport!$B$1*(K$1-0.5)</f>
        <v>0.95000000000000007</v>
      </c>
    </row>
    <row r="4" spans="1:32" x14ac:dyDescent="0.35">
      <c r="L4" s="31"/>
    </row>
    <row r="5" spans="1:32" s="18" customFormat="1" x14ac:dyDescent="0.35">
      <c r="A5" s="16" t="s">
        <v>38</v>
      </c>
      <c r="B5" s="62" t="s">
        <v>6</v>
      </c>
      <c r="C5" s="62"/>
      <c r="D5" s="62"/>
      <c r="E5" s="62"/>
      <c r="F5" s="62"/>
      <c r="G5" s="62"/>
      <c r="H5" s="62"/>
      <c r="I5" s="62"/>
      <c r="J5" s="62"/>
      <c r="K5" s="62"/>
      <c r="L5" s="29"/>
      <c r="M5" s="17"/>
      <c r="N5" s="17"/>
      <c r="O5" s="17"/>
      <c r="P5" s="17"/>
      <c r="Q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</row>
    <row r="6" spans="1:32" x14ac:dyDescent="0.35">
      <c r="A6" t="str">
        <f>'wat types'!$A$2</f>
        <v xml:space="preserve">          h2o(p)         </v>
      </c>
      <c r="B6" s="15">
        <v>55.555599999999998</v>
      </c>
      <c r="C6" s="15">
        <v>55.555599999999998</v>
      </c>
      <c r="D6" s="15">
        <v>55.555599999999998</v>
      </c>
      <c r="E6" s="15">
        <v>55.555599999999998</v>
      </c>
      <c r="F6" s="15">
        <v>55.555599999999998</v>
      </c>
      <c r="G6" s="15">
        <v>55.555599999999998</v>
      </c>
      <c r="H6" s="15">
        <v>55.555599999999998</v>
      </c>
      <c r="I6" s="15">
        <v>55.555599999999998</v>
      </c>
      <c r="J6" s="15">
        <v>55.555599999999998</v>
      </c>
      <c r="K6" s="15">
        <v>55.555599999999998</v>
      </c>
      <c r="L6" s="24"/>
      <c r="M6" s="20"/>
      <c r="N6" s="20"/>
      <c r="O6" s="20"/>
      <c r="P6" s="20"/>
      <c r="Q6" s="20"/>
      <c r="R6" s="20"/>
      <c r="S6" s="20"/>
      <c r="T6" s="20"/>
      <c r="U6" s="20"/>
      <c r="V6" s="20"/>
      <c r="W6" s="1"/>
      <c r="X6" s="1"/>
      <c r="Y6" s="1"/>
      <c r="Z6" s="1"/>
      <c r="AA6" s="1"/>
      <c r="AB6" s="1"/>
      <c r="AC6" s="1"/>
      <c r="AD6" s="1"/>
      <c r="AE6" s="1"/>
      <c r="AF6" s="1"/>
    </row>
    <row r="7" spans="1:32" x14ac:dyDescent="0.35">
      <c r="A7" t="str">
        <f>'wat types'!$A$3</f>
        <v xml:space="preserve">          cl-            </v>
      </c>
      <c r="B7" s="15">
        <v>9.9999999999999998E-17</v>
      </c>
      <c r="C7" s="15">
        <v>9.9999999999999998E-17</v>
      </c>
      <c r="D7" s="15">
        <v>9.9999999999999998E-17</v>
      </c>
      <c r="E7" s="15">
        <v>9.9999999999999998E-17</v>
      </c>
      <c r="F7" s="15">
        <v>9.9999999999999998E-17</v>
      </c>
      <c r="G7" s="15">
        <v>9.9999999999999998E-17</v>
      </c>
      <c r="H7" s="15">
        <v>9.9999999999999998E-17</v>
      </c>
      <c r="I7" s="15">
        <v>9.9999999999999998E-17</v>
      </c>
      <c r="J7" s="15">
        <v>9.9999999999999998E-17</v>
      </c>
      <c r="K7" s="15">
        <v>9.9999999999999998E-17</v>
      </c>
      <c r="L7" s="24"/>
      <c r="M7" s="20"/>
      <c r="N7" s="20"/>
      <c r="O7" s="20"/>
      <c r="P7" s="20"/>
      <c r="Q7" s="20"/>
      <c r="R7" s="20"/>
      <c r="S7" s="20"/>
      <c r="T7" s="20"/>
      <c r="U7" s="20"/>
      <c r="V7" s="20"/>
      <c r="W7" s="1"/>
      <c r="X7" s="1"/>
      <c r="Y7" s="1"/>
      <c r="Z7" s="1"/>
      <c r="AA7" s="1"/>
      <c r="AB7" s="1"/>
      <c r="AC7" s="1"/>
      <c r="AD7" s="1"/>
      <c r="AE7" s="1"/>
      <c r="AF7" s="1"/>
    </row>
    <row r="8" spans="1:32" x14ac:dyDescent="0.35">
      <c r="A8" t="str">
        <f>'wat types'!$A$4</f>
        <v xml:space="preserve">          ch2o(aq)       </v>
      </c>
      <c r="B8" s="15">
        <v>1.0000000000000001E-5</v>
      </c>
      <c r="C8" s="15">
        <v>1.0000000000000001E-5</v>
      </c>
      <c r="D8" s="15">
        <v>1.0000000000000001E-5</v>
      </c>
      <c r="E8" s="15">
        <v>1.0000000000000001E-5</v>
      </c>
      <c r="F8" s="15">
        <v>1.0000000000000001E-5</v>
      </c>
      <c r="G8" s="15">
        <v>1.0000000000000001E-5</v>
      </c>
      <c r="H8" s="15">
        <v>1.0000000000000001E-5</v>
      </c>
      <c r="I8" s="15">
        <v>1.0000000000000001E-5</v>
      </c>
      <c r="J8" s="15">
        <v>1.0000000000000001E-5</v>
      </c>
      <c r="K8" s="15">
        <v>1.0000000000000001E-5</v>
      </c>
      <c r="L8" s="24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</row>
    <row r="9" spans="1:32" x14ac:dyDescent="0.35">
      <c r="A9" t="str">
        <f>'wat types'!$A$5</f>
        <v xml:space="preserve">          h+             </v>
      </c>
      <c r="B9" s="15">
        <v>9.9999999999999995E-8</v>
      </c>
      <c r="C9" s="15">
        <v>9.9999999999999995E-8</v>
      </c>
      <c r="D9" s="15">
        <v>9.9999999999999995E-8</v>
      </c>
      <c r="E9" s="15">
        <v>9.9999999999999995E-8</v>
      </c>
      <c r="F9" s="15">
        <v>9.9999999999999995E-8</v>
      </c>
      <c r="G9" s="15">
        <v>9.9999999999999995E-8</v>
      </c>
      <c r="H9" s="15">
        <v>9.9999999999999995E-8</v>
      </c>
      <c r="I9" s="15">
        <v>9.9999999999999995E-8</v>
      </c>
      <c r="J9" s="15">
        <v>9.9999999999999995E-8</v>
      </c>
      <c r="K9" s="15">
        <v>9.9999999999999995E-8</v>
      </c>
      <c r="L9" s="24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</row>
    <row r="10" spans="1:32" x14ac:dyDescent="0.35">
      <c r="A10" t="str">
        <f>'wat types'!$A$6</f>
        <v xml:space="preserve">          no3-           </v>
      </c>
      <c r="B10" s="15">
        <v>1.0000000000000001E-5</v>
      </c>
      <c r="C10" s="15">
        <v>1.0000000000000001E-5</v>
      </c>
      <c r="D10" s="15">
        <v>1.0000000000000001E-5</v>
      </c>
      <c r="E10" s="15">
        <v>1.0000000000000001E-5</v>
      </c>
      <c r="F10" s="15">
        <v>1.0000000000000001E-5</v>
      </c>
      <c r="G10" s="15">
        <v>1.0000000000000001E-5</v>
      </c>
      <c r="H10" s="15">
        <v>1.0000000000000001E-5</v>
      </c>
      <c r="I10" s="15">
        <v>1.0000000000000001E-5</v>
      </c>
      <c r="J10" s="15">
        <v>1.0000000000000001E-5</v>
      </c>
      <c r="K10" s="15">
        <v>1.0000000000000001E-5</v>
      </c>
      <c r="L10" s="24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</row>
    <row r="11" spans="1:32" x14ac:dyDescent="0.35">
      <c r="A11" t="str">
        <f>'wat types'!$A$7</f>
        <v xml:space="preserve">          n2(aq)(p)      </v>
      </c>
      <c r="B11" s="15">
        <v>9.9999999999999998E-17</v>
      </c>
      <c r="C11" s="15">
        <v>9.9999999999999998E-17</v>
      </c>
      <c r="D11" s="15">
        <v>9.9999999999999998E-17</v>
      </c>
      <c r="E11" s="15">
        <v>9.9999999999999998E-17</v>
      </c>
      <c r="F11" s="15">
        <v>9.9999999999999998E-17</v>
      </c>
      <c r="G11" s="15">
        <v>9.9999999999999998E-17</v>
      </c>
      <c r="H11" s="15">
        <v>9.9999999999999998E-17</v>
      </c>
      <c r="I11" s="15">
        <v>9.9999999999999998E-17</v>
      </c>
      <c r="J11" s="15">
        <v>9.9999999999999998E-17</v>
      </c>
      <c r="K11" s="15">
        <v>9.9999999999999998E-17</v>
      </c>
      <c r="L11" s="24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</row>
    <row r="12" spans="1:32" x14ac:dyDescent="0.35">
      <c r="A12" t="str">
        <f>'wat types'!$A$8</f>
        <v xml:space="preserve">          ca+2           </v>
      </c>
      <c r="B12" s="15">
        <v>7.0583E-3</v>
      </c>
      <c r="C12" s="15">
        <v>7.0583E-3</v>
      </c>
      <c r="D12" s="15">
        <v>7.0583E-3</v>
      </c>
      <c r="E12" s="15">
        <v>7.0583E-3</v>
      </c>
      <c r="F12" s="15">
        <v>7.0583E-3</v>
      </c>
      <c r="G12" s="15">
        <v>7.0583E-3</v>
      </c>
      <c r="H12" s="15">
        <v>7.0583E-3</v>
      </c>
      <c r="I12" s="15">
        <v>7.0583E-3</v>
      </c>
      <c r="J12" s="15">
        <v>7.0583E-3</v>
      </c>
      <c r="K12" s="15">
        <v>7.0583E-3</v>
      </c>
      <c r="L12" s="24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</row>
    <row r="13" spans="1:32" x14ac:dyDescent="0.35">
      <c r="A13" t="str">
        <f>'wat types'!$A$9</f>
        <v xml:space="preserve">          hco3-          </v>
      </c>
      <c r="B13" s="15">
        <v>1E-3</v>
      </c>
      <c r="C13" s="15">
        <v>1E-3</v>
      </c>
      <c r="D13" s="15">
        <v>1E-3</v>
      </c>
      <c r="E13" s="15">
        <v>1E-3</v>
      </c>
      <c r="F13" s="15">
        <v>1E-3</v>
      </c>
      <c r="G13" s="15">
        <v>1E-3</v>
      </c>
      <c r="H13" s="15">
        <v>1E-3</v>
      </c>
      <c r="I13" s="15">
        <v>1E-3</v>
      </c>
      <c r="J13" s="15">
        <v>1E-3</v>
      </c>
      <c r="K13" s="15">
        <v>1E-3</v>
      </c>
      <c r="L13" s="24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</row>
    <row r="14" spans="1:32" x14ac:dyDescent="0.35">
      <c r="A14" t="str">
        <f>'wat types'!$A$10</f>
        <v xml:space="preserve">          o2(aq)         </v>
      </c>
      <c r="B14" s="15">
        <v>9.9999999999999995E-7</v>
      </c>
      <c r="C14" s="15">
        <v>9.9999999999999995E-7</v>
      </c>
      <c r="D14" s="15">
        <v>9.9999999999999995E-7</v>
      </c>
      <c r="E14" s="15">
        <v>9.9999999999999995E-7</v>
      </c>
      <c r="F14" s="15">
        <v>9.9999999999999995E-7</v>
      </c>
      <c r="G14" s="15">
        <v>9.9999999999999995E-7</v>
      </c>
      <c r="H14" s="15">
        <v>9.9999999999999995E-7</v>
      </c>
      <c r="I14" s="15">
        <v>9.9999999999999995E-7</v>
      </c>
      <c r="J14" s="15">
        <v>9.9999999999999995E-7</v>
      </c>
      <c r="K14" s="15">
        <v>9.9999999999999995E-7</v>
      </c>
      <c r="L14" s="24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</row>
    <row r="15" spans="1:32" x14ac:dyDescent="0.35">
      <c r="A15" t="str">
        <f>'wat types'!$A$11</f>
        <v xml:space="preserve">          co3-2          </v>
      </c>
      <c r="B15" s="15">
        <v>4.6902899999999998E-7</v>
      </c>
      <c r="C15" s="15">
        <v>4.6902899999999998E-7</v>
      </c>
      <c r="D15" s="15">
        <v>4.6902899999999998E-7</v>
      </c>
      <c r="E15" s="15">
        <v>4.6902899999999998E-7</v>
      </c>
      <c r="F15" s="15">
        <v>4.6902899999999998E-7</v>
      </c>
      <c r="G15" s="15">
        <v>4.6902899999999998E-7</v>
      </c>
      <c r="H15" s="15">
        <v>4.6902899999999998E-7</v>
      </c>
      <c r="I15" s="15">
        <v>4.6902899999999998E-7</v>
      </c>
      <c r="J15" s="15">
        <v>4.6902899999999998E-7</v>
      </c>
      <c r="K15" s="15">
        <v>4.6902899999999998E-7</v>
      </c>
      <c r="L15" s="24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</row>
    <row r="16" spans="1:32" x14ac:dyDescent="0.35">
      <c r="A16" s="2" t="s">
        <v>39</v>
      </c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24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</row>
    <row r="17" spans="1:32" x14ac:dyDescent="0.35">
      <c r="A17" t="s">
        <v>32</v>
      </c>
      <c r="B17" s="15">
        <v>0.5</v>
      </c>
      <c r="C17" s="15">
        <v>0.5</v>
      </c>
      <c r="D17" s="15">
        <v>0.5</v>
      </c>
      <c r="E17" s="15">
        <v>0.5</v>
      </c>
      <c r="F17" s="15">
        <v>0.5</v>
      </c>
      <c r="G17" s="15">
        <v>0.5</v>
      </c>
      <c r="H17" s="15">
        <v>0.5</v>
      </c>
      <c r="I17" s="15">
        <v>0.5</v>
      </c>
      <c r="J17" s="15">
        <v>0.5</v>
      </c>
      <c r="K17" s="15">
        <v>0.5</v>
      </c>
      <c r="L17" s="25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</row>
    <row r="18" spans="1:32" s="18" customFormat="1" x14ac:dyDescent="0.35">
      <c r="A18" s="16" t="s">
        <v>38</v>
      </c>
      <c r="B18" s="62" t="s">
        <v>65</v>
      </c>
      <c r="C18" s="62"/>
      <c r="D18" s="62"/>
      <c r="E18" s="62"/>
      <c r="F18" s="62"/>
      <c r="G18" s="62"/>
      <c r="H18" s="62"/>
      <c r="I18" s="62"/>
      <c r="J18" s="62"/>
      <c r="K18" s="62"/>
      <c r="L18" s="29" t="s">
        <v>60</v>
      </c>
      <c r="M18" s="17"/>
      <c r="N18" s="17"/>
      <c r="O18" s="17"/>
      <c r="P18" s="17"/>
      <c r="Q18" s="17"/>
      <c r="S18" s="17"/>
      <c r="T18" s="17"/>
      <c r="U18" s="17"/>
      <c r="V18" s="17"/>
    </row>
    <row r="19" spans="1:32" x14ac:dyDescent="0.35">
      <c r="A19" t="str">
        <f>'wat types'!$A$2</f>
        <v xml:space="preserve">          h2o(p)         </v>
      </c>
      <c r="B19" s="15">
        <v>55.555599999999998</v>
      </c>
      <c r="C19" s="15">
        <v>55.555599999999998</v>
      </c>
      <c r="D19" s="15">
        <v>55.555599999999998</v>
      </c>
      <c r="E19" s="15">
        <v>55.555599999999998</v>
      </c>
      <c r="F19" s="15">
        <v>55.555599999999998</v>
      </c>
      <c r="G19" s="15">
        <v>55.555599999999998</v>
      </c>
      <c r="H19" s="15">
        <v>55.555599999999998</v>
      </c>
      <c r="I19" s="15">
        <v>55.555599999999998</v>
      </c>
      <c r="J19" s="15">
        <v>55.555599999999998</v>
      </c>
      <c r="K19" s="15">
        <v>55.555599999999998</v>
      </c>
      <c r="L19" s="24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1"/>
      <c r="X19" s="1"/>
      <c r="Y19" s="1"/>
      <c r="Z19" s="1"/>
      <c r="AA19" s="1"/>
      <c r="AB19" s="1"/>
      <c r="AC19" s="1"/>
      <c r="AD19" s="1"/>
      <c r="AE19" s="1"/>
      <c r="AF19" s="1"/>
    </row>
    <row r="20" spans="1:32" x14ac:dyDescent="0.35">
      <c r="A20" t="str">
        <f>'wat types'!$A$3</f>
        <v xml:space="preserve">          cl-            </v>
      </c>
      <c r="B20" s="27">
        <v>3.0155099999999999E-5</v>
      </c>
      <c r="C20" s="27">
        <v>7.4218300000000002E-6</v>
      </c>
      <c r="D20" s="27">
        <v>1.82667E-6</v>
      </c>
      <c r="E20" s="27">
        <v>4.4958300000000001E-7</v>
      </c>
      <c r="F20" s="27">
        <v>1.10652E-7</v>
      </c>
      <c r="G20" s="27">
        <v>2.7233899999999999E-8</v>
      </c>
      <c r="H20" s="27">
        <v>6.7030900000000003E-9</v>
      </c>
      <c r="I20" s="27">
        <v>1.65079E-9</v>
      </c>
      <c r="J20" s="27">
        <v>4.1083699999999997E-10</v>
      </c>
      <c r="K20" s="27">
        <v>1.2151499999999999E-10</v>
      </c>
      <c r="L20" s="44">
        <f>ABS(B20-SUMPRODUCT($B$7:$K$7,lambdas!$D$2:$M$2)-'wat types'!$B$3*lambdas!$C$2)</f>
        <v>3.74892099853333E-11</v>
      </c>
      <c r="M20" s="40">
        <f>ABS(C20-SUMPRODUCT($B$7:$K$7,lambdas!$D$3:$M$3)-'wat types'!$B$3*lambdas!$C$3)</f>
        <v>4.353204918460256E-13</v>
      </c>
      <c r="N20" s="40">
        <f>ABS(D20-SUMPRODUCT($B$7:$K$7,lambdas!$D$4:$M$4)-'wat types'!$B$3*lambdas!$C$4)</f>
        <v>2.2917234473982559E-12</v>
      </c>
      <c r="O20" s="40">
        <f>ABS(E20-SUMPRODUCT($B$7:$K$7,lambdas!$D$5:$M$5)-'wat types'!$B$3*lambdas!$C$5)</f>
        <v>4.4167585400583883E-13</v>
      </c>
      <c r="P20" s="40">
        <f>ABS(F20-SUMPRODUCT($B$7:$K$7,lambdas!$D$6:$M$6)-'wat types'!$B$3*lambdas!$C$6)</f>
        <v>1.9050707193383947E-13</v>
      </c>
      <c r="Q20" s="40">
        <f>ABS(G20-SUMPRODUCT($B$7:$K$7,lambdas!$D$7:$M$7)-'wat types'!$B$3*lambdas!$C$7)</f>
        <v>4.0286501776862738E-14</v>
      </c>
      <c r="R20" s="40"/>
      <c r="S20" s="20"/>
      <c r="T20" s="20"/>
      <c r="U20" s="20"/>
      <c r="V20" s="20"/>
      <c r="W20" s="1"/>
      <c r="X20" s="1"/>
      <c r="Y20" s="1"/>
      <c r="Z20" s="1"/>
      <c r="AA20" s="1"/>
      <c r="AB20" s="1"/>
      <c r="AC20" s="1"/>
      <c r="AD20" s="1"/>
      <c r="AE20" s="1"/>
      <c r="AF20" s="1"/>
    </row>
    <row r="21" spans="1:32" x14ac:dyDescent="0.35">
      <c r="A21" t="str">
        <f>'wat types'!$A$4</f>
        <v xml:space="preserve">          ch2o(aq)       </v>
      </c>
      <c r="B21" s="15">
        <v>5.7157600000000003E-5</v>
      </c>
      <c r="C21" s="15">
        <v>2.13267E-5</v>
      </c>
      <c r="D21" s="15">
        <v>1.20588E-5</v>
      </c>
      <c r="E21" s="15">
        <v>9.7379899999999999E-6</v>
      </c>
      <c r="F21" s="15">
        <v>9.1637100000000007E-6</v>
      </c>
      <c r="G21" s="15">
        <v>9.0221600000000004E-6</v>
      </c>
      <c r="H21" s="15">
        <v>8.9873100000000002E-6</v>
      </c>
      <c r="I21" s="15">
        <v>8.9787299999999997E-6</v>
      </c>
      <c r="J21" s="15">
        <v>8.9766300000000001E-6</v>
      </c>
      <c r="K21" s="15">
        <v>8.9761399999999997E-6</v>
      </c>
      <c r="L21" s="24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</row>
    <row r="22" spans="1:32" x14ac:dyDescent="0.35">
      <c r="A22" t="str">
        <f>'wat types'!$A$5</f>
        <v xml:space="preserve">          h+             </v>
      </c>
      <c r="B22" s="15">
        <v>9.8465399999999997E-8</v>
      </c>
      <c r="C22" s="15">
        <v>9.9712300000000003E-8</v>
      </c>
      <c r="D22" s="15">
        <v>1.00074E-7</v>
      </c>
      <c r="E22" s="15">
        <v>1.00169E-7</v>
      </c>
      <c r="F22" s="15">
        <v>1.00192E-7</v>
      </c>
      <c r="G22" s="15">
        <v>1.0019799999999999E-7</v>
      </c>
      <c r="H22" s="15">
        <v>1.002E-7</v>
      </c>
      <c r="I22" s="15">
        <v>1.002E-7</v>
      </c>
      <c r="J22" s="15">
        <v>1.002E-7</v>
      </c>
      <c r="K22" s="15">
        <v>1.002E-7</v>
      </c>
      <c r="L22" s="24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</row>
    <row r="23" spans="1:32" x14ac:dyDescent="0.35">
      <c r="A23" t="str">
        <f>'wat types'!$A$6</f>
        <v xml:space="preserve">          no3-           </v>
      </c>
      <c r="B23" s="15">
        <v>3.6190099999999998E-5</v>
      </c>
      <c r="C23" s="15">
        <v>1.6682500000000002E-5</v>
      </c>
      <c r="D23" s="15">
        <v>1.1544300000000001E-5</v>
      </c>
      <c r="E23" s="15">
        <v>1.0254900000000001E-5</v>
      </c>
      <c r="F23" s="15">
        <v>9.9359400000000003E-6</v>
      </c>
      <c r="G23" s="15">
        <v>9.8573400000000007E-6</v>
      </c>
      <c r="H23" s="15">
        <v>9.8379900000000007E-6</v>
      </c>
      <c r="I23" s="15">
        <v>9.8332299999999997E-6</v>
      </c>
      <c r="J23" s="15">
        <v>9.8320599999999992E-6</v>
      </c>
      <c r="K23" s="15">
        <v>9.8317900000000006E-6</v>
      </c>
      <c r="L23" s="24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</row>
    <row r="24" spans="1:32" x14ac:dyDescent="0.35">
      <c r="A24" t="str">
        <f>'wat types'!$A$7</f>
        <v xml:space="preserve">          n2(aq)(p)      </v>
      </c>
      <c r="B24" s="15">
        <v>1.83174E-6</v>
      </c>
      <c r="C24" s="15">
        <v>3.3253399999999998E-7</v>
      </c>
      <c r="D24" s="15">
        <v>1.3204999999999999E-7</v>
      </c>
      <c r="E24" s="15">
        <v>9.5107099999999998E-8</v>
      </c>
      <c r="F24" s="15">
        <v>8.6804699999999999E-8</v>
      </c>
      <c r="G24" s="15">
        <v>8.48097E-8</v>
      </c>
      <c r="H24" s="15">
        <v>8.4321599999999997E-8</v>
      </c>
      <c r="I24" s="15">
        <v>8.4201699999999999E-8</v>
      </c>
      <c r="J24" s="15">
        <v>8.4172299999999997E-8</v>
      </c>
      <c r="K24" s="15">
        <v>8.4165399999999995E-8</v>
      </c>
      <c r="L24" s="24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</row>
    <row r="25" spans="1:32" x14ac:dyDescent="0.35">
      <c r="A25" t="str">
        <f>'wat types'!$A$8</f>
        <v xml:space="preserve">          ca+2           </v>
      </c>
      <c r="B25" s="15">
        <v>6.8941799999999998E-3</v>
      </c>
      <c r="C25" s="15">
        <v>7.01842E-3</v>
      </c>
      <c r="D25" s="15">
        <v>7.0491099999999999E-3</v>
      </c>
      <c r="E25" s="15">
        <v>7.0566800000000001E-3</v>
      </c>
      <c r="F25" s="15">
        <v>7.0585400000000003E-3</v>
      </c>
      <c r="G25" s="15">
        <v>7.0590000000000002E-3</v>
      </c>
      <c r="H25" s="15">
        <v>7.0591200000000003E-3</v>
      </c>
      <c r="I25" s="15">
        <v>7.0591400000000002E-3</v>
      </c>
      <c r="J25" s="15">
        <v>7.0591500000000001E-3</v>
      </c>
      <c r="K25" s="15">
        <v>7.0591500000000001E-3</v>
      </c>
      <c r="L25" s="24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</row>
    <row r="26" spans="1:32" x14ac:dyDescent="0.35">
      <c r="A26" t="str">
        <f>'wat types'!$A$9</f>
        <v xml:space="preserve">          hco3-          </v>
      </c>
      <c r="B26" s="15">
        <v>1.0080899999999999E-3</v>
      </c>
      <c r="C26" s="15">
        <v>1.0027899999999999E-3</v>
      </c>
      <c r="D26" s="15">
        <v>1.00204E-3</v>
      </c>
      <c r="E26" s="15">
        <v>1.0019199999999999E-3</v>
      </c>
      <c r="F26" s="15">
        <v>1.0018900000000001E-3</v>
      </c>
      <c r="G26" s="15">
        <v>1.0018799999999999E-3</v>
      </c>
      <c r="H26" s="15">
        <v>1.0018799999999999E-3</v>
      </c>
      <c r="I26" s="15">
        <v>1.0018799999999999E-3</v>
      </c>
      <c r="J26" s="15">
        <v>1.0018799999999999E-3</v>
      </c>
      <c r="K26" s="15">
        <v>1.0018799999999999E-3</v>
      </c>
      <c r="L26" s="24"/>
    </row>
    <row r="27" spans="1:32" x14ac:dyDescent="0.35">
      <c r="A27" t="str">
        <f>'wat types'!$A$10</f>
        <v xml:space="preserve">          o2(aq)         </v>
      </c>
      <c r="B27" s="15">
        <v>3.2577100000000001E-7</v>
      </c>
      <c r="C27" s="15">
        <v>2.5850300000000002E-7</v>
      </c>
      <c r="D27" s="15">
        <v>2.1404500000000001E-7</v>
      </c>
      <c r="E27" s="15">
        <v>1.94357E-7</v>
      </c>
      <c r="F27" s="15">
        <v>1.8840099999999999E-7</v>
      </c>
      <c r="G27" s="15">
        <v>1.8685000000000001E-7</v>
      </c>
      <c r="H27" s="15">
        <v>1.8646199999999999E-7</v>
      </c>
      <c r="I27" s="15">
        <v>1.8636599999999999E-7</v>
      </c>
      <c r="J27" s="15">
        <v>1.8634299999999999E-7</v>
      </c>
      <c r="K27" s="15">
        <v>1.8633700000000001E-7</v>
      </c>
      <c r="L27" s="24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32" x14ac:dyDescent="0.35">
      <c r="A28" t="str">
        <f>'wat types'!$A$11</f>
        <v xml:space="preserve">          co3-2          </v>
      </c>
      <c r="B28" s="15">
        <v>4.8019500000000005E-7</v>
      </c>
      <c r="C28" s="15">
        <v>4.7169400000000001E-7</v>
      </c>
      <c r="D28" s="15">
        <v>4.6964099999999999E-7</v>
      </c>
      <c r="E28" s="15">
        <v>4.69137E-7</v>
      </c>
      <c r="F28" s="15">
        <v>4.6901300000000002E-7</v>
      </c>
      <c r="G28" s="15">
        <v>4.6898200000000001E-7</v>
      </c>
      <c r="H28" s="15">
        <v>4.6897499999999998E-7</v>
      </c>
      <c r="I28" s="15">
        <v>4.6897299999999997E-7</v>
      </c>
      <c r="J28" s="15">
        <v>4.6897299999999997E-7</v>
      </c>
      <c r="K28" s="15">
        <v>4.6897299999999997E-7</v>
      </c>
      <c r="L28" s="24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32" x14ac:dyDescent="0.35">
      <c r="A29" s="2" t="s">
        <v>22</v>
      </c>
      <c r="B29" s="15"/>
      <c r="C29" s="15"/>
      <c r="D29" s="15"/>
      <c r="E29" s="15"/>
      <c r="F29" s="15"/>
      <c r="G29" s="15"/>
      <c r="H29" s="15"/>
      <c r="I29" s="15"/>
      <c r="J29" s="15"/>
      <c r="K29" s="15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32" x14ac:dyDescent="0.35">
      <c r="A30" t="s">
        <v>32</v>
      </c>
      <c r="B30" s="15">
        <v>-3.1199299999999999E-3</v>
      </c>
      <c r="C30" s="15">
        <v>-8.8848200000000001E-4</v>
      </c>
      <c r="D30" s="15">
        <v>-4.1388800000000001E-4</v>
      </c>
      <c r="E30" s="15">
        <v>-3.0424100000000002E-4</v>
      </c>
      <c r="F30" s="15">
        <v>-2.7787100000000001E-4</v>
      </c>
      <c r="G30" s="15">
        <v>-2.7142399999999998E-4</v>
      </c>
      <c r="H30" s="15">
        <v>-2.6983900000000002E-4</v>
      </c>
      <c r="I30" s="15">
        <v>-2.6945000000000002E-4</v>
      </c>
      <c r="J30" s="15">
        <v>-2.6935400000000002E-4</v>
      </c>
      <c r="K30" s="15">
        <v>-2.69332E-4</v>
      </c>
      <c r="L30" s="28">
        <f>ABS(1-B25*B26/(B22*chem!$H$21))</f>
        <v>3.9710690344918476E-6</v>
      </c>
      <c r="M30" s="20">
        <f>ABS(1-C25*C26/(C22*chem!$H$21))</f>
        <v>1.4147508058393043E-6</v>
      </c>
      <c r="N30" s="20">
        <f>ABS(1-D25*D26/(D22*chem!$H$21))</f>
        <v>4.4050034361253765E-6</v>
      </c>
      <c r="O30" s="20">
        <f>ABS(1-E25*E26/(E22*chem!$H$21))</f>
        <v>3.0311810816918694E-7</v>
      </c>
      <c r="P30" s="20">
        <f>ABS(1-F25*F26/(F22*chem!$H$21))</f>
        <v>4.3198790793397279E-6</v>
      </c>
      <c r="Q30" s="20">
        <f>ABS(1-G25*G26/(G22*chem!$H$21))</f>
        <v>3.7738249569763127E-7</v>
      </c>
      <c r="R30" s="20">
        <f>ABS(1-H25*H26/(H22*chem!$H$21))</f>
        <v>3.3382255207881073E-6</v>
      </c>
      <c r="S30" s="20">
        <f>ABS(1-I25*I26/(I22*chem!$H$21))</f>
        <v>5.0502064041779704E-7</v>
      </c>
      <c r="T30" s="20">
        <f>ABS(1-J25*J26/(J22*chem!$H$21))</f>
        <v>9.1158179982286924E-7</v>
      </c>
      <c r="U30" s="20">
        <f>ABS(1-K25*K26/(K22*chem!$H$21))</f>
        <v>9.1158179982286924E-7</v>
      </c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32" x14ac:dyDescent="0.35">
      <c r="A31" t="s">
        <v>23</v>
      </c>
      <c r="B31" s="15">
        <v>-5.2306100000000002E-6</v>
      </c>
      <c r="C31" s="15">
        <v>-1.26626E-6</v>
      </c>
      <c r="D31" s="15">
        <v>-3.1438100000000001E-7</v>
      </c>
      <c r="E31" s="15">
        <v>-8.1563199999999998E-8</v>
      </c>
      <c r="F31" s="15">
        <v>-2.4353599999999999E-8</v>
      </c>
      <c r="G31" s="15">
        <v>-1.0278699999999999E-8</v>
      </c>
      <c r="H31" s="15">
        <v>-6.8149499999999999E-9</v>
      </c>
      <c r="I31" s="15">
        <v>-5.9626000000000001E-9</v>
      </c>
      <c r="J31" s="15">
        <v>-5.7534100000000003E-9</v>
      </c>
      <c r="K31" s="33">
        <v>-5.7046000000000003E-9</v>
      </c>
      <c r="L31" s="20">
        <f>ABS(1-B22*B28/(B26*chem!$N$32))</f>
        <v>4.551076678183108E-6</v>
      </c>
      <c r="M31" s="20">
        <f>ABS(1-C22*C28/(C26*chem!$N$32))</f>
        <v>2.0918368429656553E-6</v>
      </c>
      <c r="N31" s="20">
        <f>ABS(1-D22*D28/(D26*chem!$N$32))</f>
        <v>5.0769668917816091E-6</v>
      </c>
      <c r="O31" s="20">
        <f>ABS(1-E22*E28/(E26*chem!$N$32))</f>
        <v>4.9340292629374005E-8</v>
      </c>
      <c r="P31" s="20">
        <f>ABS(1-F22*F28/(F26*chem!$N$32))</f>
        <v>4.8708229323235486E-6</v>
      </c>
      <c r="Q31" s="20">
        <f>ABS(1-G22*G28/(G26*chem!$N$32))</f>
        <v>1.1048543796521315E-6</v>
      </c>
      <c r="R31" s="20">
        <f>ABS(1-H22*H28/(H26*chem!$N$32))</f>
        <v>3.9293743971935413E-6</v>
      </c>
      <c r="S31" s="20">
        <f>ABS(1-I22*I28/(I26*chem!$N$32))</f>
        <v>3.3526200937661343E-7</v>
      </c>
      <c r="T31" s="20">
        <f>ABS(1-J22*J28/(J26*chem!$N$32))</f>
        <v>3.3526200937661343E-7</v>
      </c>
      <c r="U31" s="20">
        <f>ABS(1-K22*K28/(K26*chem!$N$32))</f>
        <v>3.3526200937661343E-7</v>
      </c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32" x14ac:dyDescent="0.35">
      <c r="A32" s="2" t="s">
        <v>21</v>
      </c>
      <c r="B32" s="15"/>
      <c r="C32" s="15"/>
      <c r="D32" s="15"/>
      <c r="E32" s="15"/>
      <c r="F32" s="15"/>
      <c r="G32" s="15"/>
      <c r="H32" s="15"/>
      <c r="I32" s="15"/>
      <c r="J32" s="15"/>
      <c r="K32" s="33"/>
      <c r="L32" s="32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:32" x14ac:dyDescent="0.35">
      <c r="A33" t="s">
        <v>24</v>
      </c>
      <c r="B33" s="15">
        <v>8.5289199999999995E-4</v>
      </c>
      <c r="C33" s="15">
        <v>2.63093E-4</v>
      </c>
      <c r="D33" s="15">
        <v>1.2484599999999999E-4</v>
      </c>
      <c r="E33" s="15">
        <v>9.1932800000000002E-5</v>
      </c>
      <c r="F33" s="15">
        <v>8.3956999999999996E-5</v>
      </c>
      <c r="G33" s="15">
        <v>8.2003399999999995E-5</v>
      </c>
      <c r="H33" s="15">
        <v>8.1523199999999999E-5</v>
      </c>
      <c r="I33" s="15">
        <v>8.1405100000000004E-5</v>
      </c>
      <c r="J33" s="15">
        <v>8.1376099999999995E-5</v>
      </c>
      <c r="K33" s="33">
        <v>8.1369299999999994E-5</v>
      </c>
      <c r="L33" s="27">
        <f>ABS(B33-chem!$E$5*B21*B27/((chem!$G$5+B21)*(chem!$I$5+B27)))</f>
        <v>2.823541321540432E-10</v>
      </c>
      <c r="M33" s="27">
        <f>ABS(C33-chem!$E$5*C21*C27/((chem!$G$5+C21)*(chem!$I$5+C27)))</f>
        <v>7.773522858398052E-10</v>
      </c>
      <c r="N33" s="27">
        <f>ABS(D33-chem!$E$5*D21*D27/((chem!$G$5+D21)*(chem!$I$5+D27)))</f>
        <v>2.987501848011366E-10</v>
      </c>
      <c r="O33" s="27">
        <f>ABS(E33-chem!$E$5*E21*E27/((chem!$G$5+E21)*(chem!$I$5+E27)))</f>
        <v>1.0441802453340244E-10</v>
      </c>
      <c r="P33" s="27">
        <f>ABS(F33-chem!$E$5*F21*F27/((chem!$G$5+F21)*(chem!$I$5+F27)))</f>
        <v>4.1479248014857431E-12</v>
      </c>
      <c r="Q33" s="27">
        <f>ABS(G33-chem!$E$5*G21*G27/((chem!$G$5+G21)*(chem!$I$5+G27)))</f>
        <v>2.1833339524073968E-10</v>
      </c>
      <c r="R33" s="27">
        <f>ABS(H33-chem!$E$5*H21*H27/((chem!$G$5+H21)*(chem!$I$5+H27)))</f>
        <v>4.2705166199098407E-11</v>
      </c>
      <c r="S33" s="27">
        <f>ABS(I33-chem!$E$5*I21*I27/((chem!$G$5+I21)*(chem!$I$5+I27)))</f>
        <v>2.4392388694831346E-10</v>
      </c>
      <c r="T33" s="27">
        <f>ABS(J33-chem!$E$5*J21*J27/((chem!$G$5+J21)*(chem!$I$5+J27)))</f>
        <v>2.5649251074303693E-11</v>
      </c>
      <c r="U33" s="27">
        <f>ABS(K33-chem!$E$5*K21*K27/((chem!$G$5+K21)*(chem!$I$5+K27)))</f>
        <v>1.489800107823229E-10</v>
      </c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:32" x14ac:dyDescent="0.35">
      <c r="A34" t="s">
        <v>25</v>
      </c>
      <c r="B34" s="15">
        <v>4.7217299999999999E-4</v>
      </c>
      <c r="C34" s="15">
        <v>8.3755099999999994E-5</v>
      </c>
      <c r="D34" s="15">
        <v>3.3073E-5</v>
      </c>
      <c r="E34" s="15">
        <v>2.3787499999999999E-5</v>
      </c>
      <c r="F34" s="15">
        <v>2.17036E-5</v>
      </c>
      <c r="G34" s="15">
        <v>2.1203E-5</v>
      </c>
      <c r="H34" s="15">
        <v>2.1080499999999999E-5</v>
      </c>
      <c r="I34" s="15">
        <v>2.1050500000000001E-5</v>
      </c>
      <c r="J34" s="15">
        <v>2.1043099999999998E-5</v>
      </c>
      <c r="K34" s="34">
        <v>2.1041400000000002E-5</v>
      </c>
      <c r="L34" s="30">
        <f>ABS(B34-chem!$E$6*results!B21*results!B23*chem!$K$6/((chem!$G$6+results!B21)*(chem!$I$6+results!B23)*(chem!$K$6+results!B27)))</f>
        <v>4.3263507793628309E-11</v>
      </c>
      <c r="M34" s="30">
        <f>ABS(C34-chem!$E$6*results!C21*results!C23*chem!$K$6/((chem!$G$6+results!C21)*(chem!$I$6+results!C23)*(chem!$K$6+results!C27)))</f>
        <v>1.8781701911221253E-10</v>
      </c>
      <c r="N34" s="30">
        <f>ABS(D34-chem!$E$6*results!D21*results!D23*chem!$K$6/((chem!$G$6+results!D21)*(chem!$I$6+results!D23)*(chem!$K$6+results!D27)))</f>
        <v>8.5086172604679523E-11</v>
      </c>
      <c r="O34" s="30">
        <f>ABS(E34-chem!$E$6*results!E21*results!E23*chem!$K$6/((chem!$G$6+results!E21)*(chem!$I$6+results!E23)*(chem!$K$6+results!E27)))</f>
        <v>3.5782490353717094E-11</v>
      </c>
      <c r="P34" s="30">
        <f>ABS(F34-chem!$E$6*results!F21*results!F23*chem!$K$6/((chem!$G$6+results!F21)*(chem!$I$6+results!F23)*(chem!$K$6+results!F27)))</f>
        <v>2.5795168826875338E-11</v>
      </c>
      <c r="Q34" s="30">
        <f>ABS(G34-chem!$E$6*results!G21*results!G23*chem!$K$6/((chem!$G$6+results!G21)*(chem!$I$6+results!G23)*(chem!$K$6+results!G27)))</f>
        <v>7.4950629978408258E-12</v>
      </c>
      <c r="R34" s="30">
        <f>ABS(H34-chem!$E$6*results!H21*results!H23*chem!$K$6/((chem!$G$6+results!H21)*(chem!$I$6+results!H23)*(chem!$K$6+results!H27)))</f>
        <v>4.326351592175647E-11</v>
      </c>
      <c r="S34" s="30">
        <f>ABS(I34-chem!$E$6*results!I21*results!I23*chem!$K$6/((chem!$G$6+results!I21)*(chem!$I$6+results!I23)*(chem!$K$6+results!I27)))</f>
        <v>4.6998568811019254E-11</v>
      </c>
      <c r="T34" s="30">
        <f>ABS(J34-chem!$E$6*results!J21*results!J23*chem!$K$6/((chem!$G$6+results!J21)*(chem!$I$6+results!J23)*(chem!$K$6+results!J27)))</f>
        <v>1.9899788424488111E-11</v>
      </c>
      <c r="U34" s="30">
        <f>ABS(K34-chem!$E$6*results!K21*results!K23*chem!$K$6/((chem!$G$6+results!K21)*(chem!$I$6+results!K23)*(chem!$K$6+results!K27)))</f>
        <v>3.3145676734704348E-11</v>
      </c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:32" s="18" customFormat="1" x14ac:dyDescent="0.35">
      <c r="A35" s="16" t="s">
        <v>38</v>
      </c>
      <c r="B35" s="62" t="s">
        <v>108</v>
      </c>
      <c r="C35" s="62"/>
      <c r="D35" s="62"/>
      <c r="E35" s="62"/>
      <c r="F35" s="62"/>
      <c r="G35" s="62"/>
      <c r="H35" s="62"/>
      <c r="I35" s="62"/>
      <c r="J35" s="62"/>
      <c r="K35" s="62"/>
      <c r="L35" s="29" t="s">
        <v>60</v>
      </c>
      <c r="M35" s="17"/>
      <c r="N35" s="17"/>
      <c r="O35" s="17"/>
      <c r="P35" s="17"/>
      <c r="Q35" s="17"/>
      <c r="S35" s="17"/>
      <c r="T35" s="17"/>
      <c r="U35" s="17"/>
      <c r="V35" s="17"/>
    </row>
    <row r="36" spans="1:32" x14ac:dyDescent="0.35">
      <c r="A36" t="str">
        <f>'wat types'!$A$2</f>
        <v xml:space="preserve">          h2o(p)         </v>
      </c>
      <c r="B36" s="15">
        <v>55.555599999999998</v>
      </c>
      <c r="C36" s="15">
        <v>55.555599999999998</v>
      </c>
      <c r="D36" s="15">
        <v>55.555599999999998</v>
      </c>
      <c r="E36" s="15">
        <v>55.555599999999998</v>
      </c>
      <c r="F36" s="15">
        <v>55.555599999999998</v>
      </c>
      <c r="G36" s="15">
        <v>55.555599999999998</v>
      </c>
      <c r="H36" s="15">
        <v>55.555599999999998</v>
      </c>
      <c r="I36" s="15">
        <v>55.555599999999998</v>
      </c>
      <c r="J36" s="15">
        <v>55.555599999999998</v>
      </c>
      <c r="K36" s="15">
        <v>55.555599999999998</v>
      </c>
      <c r="L36" s="24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:32" x14ac:dyDescent="0.35">
      <c r="A37" t="str">
        <f>'wat types'!$A$3</f>
        <v xml:space="preserve">          cl-            </v>
      </c>
      <c r="B37" s="27">
        <v>5.4206599999999997E-5</v>
      </c>
      <c r="C37" s="27">
        <v>1.79428E-5</v>
      </c>
      <c r="D37" s="27">
        <v>5.5486200000000002E-6</v>
      </c>
      <c r="E37" s="27">
        <v>1.6443699999999999E-6</v>
      </c>
      <c r="F37" s="27">
        <v>4.7331699999999998E-7</v>
      </c>
      <c r="G37" s="27">
        <v>1.3337899999999999E-7</v>
      </c>
      <c r="H37" s="27">
        <v>3.6985200000000001E-8</v>
      </c>
      <c r="I37" s="27">
        <v>1.0134900000000001E-8</v>
      </c>
      <c r="J37" s="27">
        <v>2.7850299999999998E-9</v>
      </c>
      <c r="K37" s="27">
        <v>9.0931499999999998E-10</v>
      </c>
      <c r="L37" s="44">
        <f>ABS(B37-SUMPRODUCT($B$20:$K$20,lambdas!$D$2:$M$2)-'wat types'!$B$3*lambdas!$C$2)</f>
        <v>8.6935212988917959E-14</v>
      </c>
      <c r="M37" s="40">
        <f>ABS(C37-SUMPRODUCT($B$20:$K$20,lambdas!$D$3:$M$3)-'wat types'!$B$3*lambdas!$C$3)</f>
        <v>2.0727768557369283E-11</v>
      </c>
      <c r="N37" s="40">
        <f>ABS(D37-SUMPRODUCT($B$20:$K$20,lambdas!$D$4:$M$4)-'wat types'!$B$3*lambdas!$C$4)</f>
        <v>6.6711526782767098E-13</v>
      </c>
      <c r="O37" s="40">
        <f>ABS(E37-SUMPRODUCT($B$20:$K$20,lambdas!$D$5:$M$5)-'wat types'!$B$3*lambdas!$C$5)</f>
        <v>1.3328164533781143E-12</v>
      </c>
      <c r="P37" s="40">
        <f>ABS(F37-SUMPRODUCT($B$20:$K$20,lambdas!$D$6:$M$6)-'wat types'!$B$3*lambdas!$C$6)</f>
        <v>5.5575785483196385E-14</v>
      </c>
      <c r="Q37" s="40">
        <f>ABS(G37-SUMPRODUCT($B$20:$K$20,lambdas!$D$7:$M$7)-'wat types'!$B$3*lambdas!$C$7)</f>
        <v>4.215280958681523E-13</v>
      </c>
      <c r="R37" s="40"/>
      <c r="S37" s="20"/>
      <c r="T37" s="20"/>
      <c r="U37" s="20"/>
      <c r="V37" s="20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:32" x14ac:dyDescent="0.35">
      <c r="A38" t="str">
        <f>'wat types'!$A$4</f>
        <v xml:space="preserve">          ch2o(aq)       </v>
      </c>
      <c r="B38" s="15">
        <v>8.9578200000000002E-5</v>
      </c>
      <c r="C38" s="15">
        <v>3.6749199999999997E-5</v>
      </c>
      <c r="D38" s="15">
        <v>1.7526699999999999E-5</v>
      </c>
      <c r="E38" s="15">
        <v>1.12862E-5</v>
      </c>
      <c r="F38" s="15">
        <v>9.3929699999999993E-6</v>
      </c>
      <c r="G38" s="15">
        <v>8.8414600000000006E-6</v>
      </c>
      <c r="H38" s="15">
        <v>8.6849399999999999E-6</v>
      </c>
      <c r="I38" s="15">
        <v>8.6413399999999992E-6</v>
      </c>
      <c r="J38" s="15">
        <v>8.6294099999999998E-6</v>
      </c>
      <c r="K38" s="15">
        <v>8.6263599999999999E-6</v>
      </c>
      <c r="L38" s="24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:32" x14ac:dyDescent="0.35">
      <c r="A39" t="str">
        <f>'wat types'!$A$5</f>
        <v xml:space="preserve">          h+             </v>
      </c>
      <c r="B39" s="15">
        <v>9.7790299999999994E-8</v>
      </c>
      <c r="C39" s="15">
        <v>9.9293800000000005E-8</v>
      </c>
      <c r="D39" s="15">
        <v>9.9934399999999995E-8</v>
      </c>
      <c r="E39" s="15">
        <v>1.00158E-7</v>
      </c>
      <c r="F39" s="15">
        <v>1.00228E-7</v>
      </c>
      <c r="G39" s="15">
        <v>1.00249E-7</v>
      </c>
      <c r="H39" s="15">
        <v>1.0025499999999999E-7</v>
      </c>
      <c r="I39" s="15">
        <v>1.0025599999999999E-7</v>
      </c>
      <c r="J39" s="15">
        <v>1.00257E-7</v>
      </c>
      <c r="K39" s="15">
        <v>1.00257E-7</v>
      </c>
      <c r="L39" s="24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:32" x14ac:dyDescent="0.35">
      <c r="A40" t="str">
        <f>'wat types'!$A$6</f>
        <v xml:space="preserve">          no3-           </v>
      </c>
      <c r="B40" s="15">
        <v>5.25978E-5</v>
      </c>
      <c r="C40" s="15">
        <v>2.4921300000000001E-5</v>
      </c>
      <c r="D40" s="15">
        <v>1.4542099999999999E-5</v>
      </c>
      <c r="E40" s="15">
        <v>1.11321E-5</v>
      </c>
      <c r="F40" s="15">
        <v>1.00937E-5</v>
      </c>
      <c r="G40" s="15">
        <v>9.7907299999999997E-6</v>
      </c>
      <c r="H40" s="15">
        <v>9.7046399999999996E-6</v>
      </c>
      <c r="I40" s="15">
        <v>9.6806399999999995E-6</v>
      </c>
      <c r="J40" s="15">
        <v>9.67406E-6</v>
      </c>
      <c r="K40" s="15">
        <v>9.6723900000000001E-6</v>
      </c>
      <c r="L40" s="24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:32" x14ac:dyDescent="0.35">
      <c r="A41" t="str">
        <f>'wat types'!$A$7</f>
        <v xml:space="preserve">          n2(aq)(p)      </v>
      </c>
      <c r="B41" s="15">
        <v>5.5333799999999997E-6</v>
      </c>
      <c r="C41" s="15">
        <v>1.42103E-6</v>
      </c>
      <c r="D41" s="15">
        <v>4.7553599999999998E-7</v>
      </c>
      <c r="E41" s="15">
        <v>2.4788999999999998E-7</v>
      </c>
      <c r="F41" s="15">
        <v>1.8742099999999999E-7</v>
      </c>
      <c r="G41" s="15">
        <v>1.7065699999999999E-7</v>
      </c>
      <c r="H41" s="15">
        <v>1.6598799999999999E-7</v>
      </c>
      <c r="I41" s="15">
        <v>1.6469800000000001E-7</v>
      </c>
      <c r="J41" s="15">
        <v>1.6434700000000001E-7</v>
      </c>
      <c r="K41" s="15">
        <v>1.6425799999999999E-7</v>
      </c>
      <c r="L41" s="24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:32" x14ac:dyDescent="0.35">
      <c r="A42" t="str">
        <f>'wat types'!$A$8</f>
        <v xml:space="preserve">          ca+2           </v>
      </c>
      <c r="B42" s="15">
        <v>6.7639900000000001E-3</v>
      </c>
      <c r="C42" s="15">
        <v>6.9612900000000002E-3</v>
      </c>
      <c r="D42" s="15">
        <v>7.0289699999999998E-3</v>
      </c>
      <c r="E42" s="15">
        <v>7.0503400000000004E-3</v>
      </c>
      <c r="F42" s="15">
        <v>7.0567499999999997E-3</v>
      </c>
      <c r="G42" s="15">
        <v>7.0586099999999999E-3</v>
      </c>
      <c r="H42" s="15">
        <v>7.0591400000000002E-3</v>
      </c>
      <c r="I42" s="15">
        <v>7.0592900000000002E-3</v>
      </c>
      <c r="J42" s="15">
        <v>7.0593299999999999E-3</v>
      </c>
      <c r="K42" s="15">
        <v>7.0593399999999999E-3</v>
      </c>
      <c r="L42" s="24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:32" x14ac:dyDescent="0.35">
      <c r="A43" t="str">
        <f>'wat types'!$A$9</f>
        <v xml:space="preserve">          hco3-          </v>
      </c>
      <c r="B43" s="15">
        <v>1.02045E-3</v>
      </c>
      <c r="C43" s="15">
        <v>1.0067699999999999E-3</v>
      </c>
      <c r="D43" s="15">
        <v>1.00351E-3</v>
      </c>
      <c r="E43" s="15">
        <v>1.0027199999999999E-3</v>
      </c>
      <c r="F43" s="15">
        <v>1.0024999999999999E-3</v>
      </c>
      <c r="G43" s="15">
        <v>1.0024400000000001E-3</v>
      </c>
      <c r="H43" s="15">
        <v>1.0024299999999999E-3</v>
      </c>
      <c r="I43" s="15">
        <v>1.00242E-3</v>
      </c>
      <c r="J43" s="15">
        <v>1.00242E-3</v>
      </c>
      <c r="K43" s="15">
        <v>1.00242E-3</v>
      </c>
      <c r="L43" s="24"/>
    </row>
    <row r="44" spans="1:32" x14ac:dyDescent="0.35">
      <c r="A44" t="str">
        <f>'wat types'!$A$10</f>
        <v xml:space="preserve">          o2(aq)         </v>
      </c>
      <c r="B44" s="15">
        <v>1.9770200000000001E-7</v>
      </c>
      <c r="C44" s="15">
        <v>1.16237E-7</v>
      </c>
      <c r="D44" s="15">
        <v>7.1724300000000004E-8</v>
      </c>
      <c r="E44" s="15">
        <v>4.7899200000000002E-8</v>
      </c>
      <c r="F44" s="15">
        <v>3.8866900000000001E-8</v>
      </c>
      <c r="G44" s="15">
        <v>3.6282E-8</v>
      </c>
      <c r="H44" s="15">
        <v>3.5629199999999999E-8</v>
      </c>
      <c r="I44" s="15">
        <v>3.5471199999999998E-8</v>
      </c>
      <c r="J44" s="15">
        <v>3.5433600000000003E-8</v>
      </c>
      <c r="K44" s="15">
        <v>3.54251E-8</v>
      </c>
      <c r="L44" s="24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:32" x14ac:dyDescent="0.35">
      <c r="A45" t="str">
        <f>'wat types'!$A$11</f>
        <v xml:space="preserve">          co3-2          </v>
      </c>
      <c r="B45" s="15">
        <v>4.8943699999999999E-7</v>
      </c>
      <c r="C45" s="15">
        <v>4.7556499999999998E-7</v>
      </c>
      <c r="D45" s="15">
        <v>4.7098600000000001E-7</v>
      </c>
      <c r="E45" s="15">
        <v>4.69559E-7</v>
      </c>
      <c r="F45" s="15">
        <v>4.6913200000000002E-7</v>
      </c>
      <c r="G45" s="15">
        <v>4.6900799999999999E-7</v>
      </c>
      <c r="H45" s="15">
        <v>4.6897299999999997E-7</v>
      </c>
      <c r="I45" s="15">
        <v>4.6896300000000002E-7</v>
      </c>
      <c r="J45" s="15">
        <v>4.6896100000000001E-7</v>
      </c>
      <c r="K45" s="15">
        <v>4.6895999999999999E-7</v>
      </c>
      <c r="L45" s="24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:32" x14ac:dyDescent="0.35">
      <c r="A46" s="2" t="s">
        <v>22</v>
      </c>
      <c r="B46" s="15"/>
      <c r="C46" s="15"/>
      <c r="D46" s="15"/>
      <c r="E46" s="15"/>
      <c r="F46" s="15"/>
      <c r="G46" s="15"/>
      <c r="H46" s="15"/>
      <c r="I46" s="15"/>
      <c r="J46" s="15"/>
      <c r="K46" s="15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:32" x14ac:dyDescent="0.35">
      <c r="A47" t="s">
        <v>32</v>
      </c>
      <c r="B47" s="15">
        <v>-3.6508000000000001E-3</v>
      </c>
      <c r="C47" s="15">
        <v>-8.6664900000000004E-4</v>
      </c>
      <c r="D47" s="15">
        <v>-2.56424E-4</v>
      </c>
      <c r="E47" s="15">
        <v>-1.15794E-4</v>
      </c>
      <c r="F47" s="15">
        <v>-8.1290699999999997E-5</v>
      </c>
      <c r="G47" s="15">
        <v>-7.24287E-5</v>
      </c>
      <c r="H47" s="15">
        <v>-7.0108600000000002E-5</v>
      </c>
      <c r="I47" s="15">
        <v>-6.9499199999999994E-5</v>
      </c>
      <c r="J47" s="15">
        <v>-6.9339900000000003E-5</v>
      </c>
      <c r="K47" s="15">
        <v>-6.9300699999999999E-5</v>
      </c>
      <c r="L47" s="28">
        <f>ABS(1-B42*B43/(B39*chem!$H$21))</f>
        <v>2.5134534734627678E-6</v>
      </c>
      <c r="M47" s="20">
        <f>ABS(1-C42*C43/(C39*chem!$H$21))</f>
        <v>4.9260093328840071E-6</v>
      </c>
      <c r="N47" s="20">
        <f>ABS(1-D42*D43/(D39*chem!$H$21))</f>
        <v>3.7186760857288448E-6</v>
      </c>
      <c r="O47" s="20">
        <f>ABS(1-E42*E43/(E39*chem!$H$21))</f>
        <v>9.4286130658538525E-6</v>
      </c>
      <c r="P47" s="20">
        <f>ABS(1-F42*F43/(F39*chem!$H$21))</f>
        <v>1.1260335397444976E-7</v>
      </c>
      <c r="Q47" s="20">
        <f>ABS(1-G42*G43/(G39*chem!$H$21))</f>
        <v>5.6971926025717323E-6</v>
      </c>
      <c r="R47" s="20">
        <f>ABS(1-H42*H43/(H39*chem!$H$21))</f>
        <v>4.3931207771574776E-7</v>
      </c>
      <c r="S47" s="20">
        <f>ABS(1-I42*I43/(I39*chem!$H$21))</f>
        <v>8.5918599346257452E-7</v>
      </c>
      <c r="T47" s="20">
        <f>ABS(1-J42*J43/(J39*chem!$H$21))</f>
        <v>3.4489478862864686E-6</v>
      </c>
      <c r="U47" s="20">
        <f>ABS(1-K42*K43/(K39*chem!$H$21))</f>
        <v>2.032387743877706E-6</v>
      </c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:32" x14ac:dyDescent="0.35">
      <c r="A48" t="s">
        <v>23</v>
      </c>
      <c r="B48" s="15">
        <v>-5.1941E-6</v>
      </c>
      <c r="C48" s="15">
        <v>-1.2623200000000001E-6</v>
      </c>
      <c r="D48" s="15">
        <v>-3.1126300000000003E-7</v>
      </c>
      <c r="E48" s="15">
        <v>-7.7611999999999994E-8</v>
      </c>
      <c r="F48" s="15">
        <v>-2.00736E-8</v>
      </c>
      <c r="G48" s="15">
        <v>-5.90033E-9</v>
      </c>
      <c r="H48" s="15">
        <v>-2.4090699999999998E-9</v>
      </c>
      <c r="I48" s="15">
        <v>-1.5492399999999999E-9</v>
      </c>
      <c r="J48" s="15">
        <v>-1.3380499999999999E-9</v>
      </c>
      <c r="K48" s="33">
        <v>-1.28874E-9</v>
      </c>
      <c r="L48" s="20">
        <f>ABS(1-B39*B45/(B43*chem!$N$32))</f>
        <v>1.9481786286412728E-6</v>
      </c>
      <c r="M48" s="20">
        <f>ABS(1-C39*C45/(C43*chem!$N$32))</f>
        <v>4.0300550325778062E-6</v>
      </c>
      <c r="N48" s="20">
        <f>ABS(1-D39*D45/(D43*chem!$N$32))</f>
        <v>2.9995931241089124E-6</v>
      </c>
      <c r="O48" s="20">
        <f>ABS(1-E39*E45/(E43*chem!$N$32))</f>
        <v>8.8983923562935274E-6</v>
      </c>
      <c r="P48" s="20">
        <f>ABS(1-F39*F45/(F43*chem!$N$32))</f>
        <v>5.971199847909503E-7</v>
      </c>
      <c r="Q48" s="20">
        <f>ABS(1-G39*G45/(G43*chem!$N$32))</f>
        <v>4.402527167712833E-6</v>
      </c>
      <c r="R48" s="20">
        <f>ABS(1-H39*H45/(H43*chem!$N$32))</f>
        <v>4.0097057896204547E-7</v>
      </c>
      <c r="S48" s="20">
        <f>ABS(1-I39*I45/(I43*chem!$N$32))</f>
        <v>1.7740618315498224E-6</v>
      </c>
      <c r="T48" s="20">
        <f>ABS(1-J39*J45/(J43*chem!$N$32))</f>
        <v>3.9356220953301602E-6</v>
      </c>
      <c r="U48" s="20">
        <f>ABS(1-K39*K45/(K43*chem!$N$32))</f>
        <v>1.8032402222534216E-6</v>
      </c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:32" x14ac:dyDescent="0.35">
      <c r="A49" s="2" t="s">
        <v>21</v>
      </c>
      <c r="B49" s="15"/>
      <c r="C49" s="15"/>
      <c r="D49" s="15"/>
      <c r="E49" s="15"/>
      <c r="F49" s="15"/>
      <c r="G49" s="15"/>
      <c r="H49" s="15"/>
      <c r="I49" s="15"/>
      <c r="J49" s="15"/>
      <c r="K49" s="33"/>
      <c r="L49" s="32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:32" x14ac:dyDescent="0.35">
      <c r="A50" t="s">
        <v>24</v>
      </c>
      <c r="B50" s="15">
        <v>7.9693299999999999E-4</v>
      </c>
      <c r="C50" s="15">
        <v>2.03644E-4</v>
      </c>
      <c r="D50" s="15">
        <v>6.1331899999999995E-5</v>
      </c>
      <c r="E50" s="15">
        <v>2.6600900000000001E-5</v>
      </c>
      <c r="F50" s="15">
        <v>1.80139E-5</v>
      </c>
      <c r="G50" s="15">
        <v>1.58413E-5</v>
      </c>
      <c r="H50" s="15">
        <v>1.5284199999999998E-5</v>
      </c>
      <c r="I50" s="15">
        <v>1.5140899999999999E-5</v>
      </c>
      <c r="J50" s="15">
        <v>1.51042E-5</v>
      </c>
      <c r="K50" s="33">
        <v>1.5095299999999999E-5</v>
      </c>
      <c r="L50" s="27">
        <f>ABS(B50-chem!$E$5*B38*B44/((chem!$G$5+B38)*(chem!$I$5+B44)))</f>
        <v>1.5883184999437167E-9</v>
      </c>
      <c r="M50" s="27">
        <f>ABS(C50-chem!$E$5*C38*C44/((chem!$G$5+C38)*(chem!$I$5+C44)))</f>
        <v>9.551295734953457E-10</v>
      </c>
      <c r="N50" s="27">
        <f>ABS(D50-chem!$E$5*D38*D44/((chem!$G$5+D38)*(chem!$I$5+D44)))</f>
        <v>5.8444782271172696E-11</v>
      </c>
      <c r="O50" s="27">
        <f>ABS(E50-chem!$E$5*E38*E44/((chem!$G$5+E38)*(chem!$I$5+E44)))</f>
        <v>1.9925565276928845E-11</v>
      </c>
      <c r="P50" s="27">
        <f>ABS(F50-chem!$E$5*F38*F44/((chem!$G$5+F38)*(chem!$I$5+F44)))</f>
        <v>5.1058048746246715E-12</v>
      </c>
      <c r="Q50" s="27">
        <f>ABS(G50-chem!$E$5*G38*G44/((chem!$G$5+G38)*(chem!$I$5+G44)))</f>
        <v>5.0573196404458823E-11</v>
      </c>
      <c r="R50" s="27">
        <f>ABS(H50-chem!$E$5*H38*H44/((chem!$G$5+H38)*(chem!$I$5+H44)))</f>
        <v>1.5017393321177692E-12</v>
      </c>
      <c r="S50" s="27">
        <f>ABS(I50-chem!$E$5*I38*I44/((chem!$G$5+I38)*(chem!$I$5+I44)))</f>
        <v>2.6298148393712477E-11</v>
      </c>
      <c r="T50" s="27">
        <f>ABS(J50-chem!$E$5*J38*J44/((chem!$G$5+J38)*(chem!$I$5+J44)))</f>
        <v>3.0935916543102537E-11</v>
      </c>
      <c r="U50" s="27">
        <f>ABS(K50-chem!$E$5*K38*K44/((chem!$G$5+K38)*(chem!$I$5+K44)))</f>
        <v>2.8889288212357884E-11</v>
      </c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:32" x14ac:dyDescent="0.35">
      <c r="A51" t="s">
        <v>25</v>
      </c>
      <c r="B51" s="15">
        <v>1.05448E-3</v>
      </c>
      <c r="C51" s="15">
        <v>2.1418399999999999E-4</v>
      </c>
      <c r="D51" s="15">
        <v>6.0627400000000002E-5</v>
      </c>
      <c r="E51" s="15">
        <v>3.0063899999999999E-5</v>
      </c>
      <c r="F51" s="15">
        <v>2.27295E-5</v>
      </c>
      <c r="G51" s="15">
        <v>2.0764E-5</v>
      </c>
      <c r="H51" s="15">
        <v>2.02201E-5</v>
      </c>
      <c r="I51" s="15">
        <v>2.0069599999999998E-5</v>
      </c>
      <c r="J51" s="15">
        <v>2.00285E-5</v>
      </c>
      <c r="K51" s="34">
        <v>2.0018100000000001E-5</v>
      </c>
      <c r="L51" s="30">
        <f>ABS(B51-chem!$E$6*results!B38*results!B40*chem!$K$6/((chem!$G$6+results!B38)*(chem!$I$6+results!B40)*(chem!$K$6+results!B44)))</f>
        <v>5.2694183621561363E-9</v>
      </c>
      <c r="M51" s="30">
        <f>ABS(C51-chem!$E$6*results!C38*results!C40*chem!$K$6/((chem!$G$6+results!C38)*(chem!$I$6+results!C40)*(chem!$K$6+results!C44)))</f>
        <v>3.0023382101306874E-10</v>
      </c>
      <c r="N51" s="30">
        <f>ABS(D51-chem!$E$6*results!D38*results!D40*chem!$K$6/((chem!$G$6+results!D38)*(chem!$I$6+results!D40)*(chem!$K$6+results!D44)))</f>
        <v>2.2642404527787588E-10</v>
      </c>
      <c r="O51" s="30">
        <f>ABS(E51-chem!$E$6*results!E38*results!E40*chem!$K$6/((chem!$G$6+results!E38)*(chem!$I$6+results!E40)*(chem!$K$6+results!E44)))</f>
        <v>6.5639761878802166E-11</v>
      </c>
      <c r="P51" s="30">
        <f>ABS(F51-chem!$E$6*results!F38*results!F40*chem!$K$6/((chem!$G$6+results!F38)*(chem!$I$6+results!F40)*(chem!$K$6+results!F44)))</f>
        <v>1.2238825179209495E-10</v>
      </c>
      <c r="Q51" s="30">
        <f>ABS(G51-chem!$E$6*results!G38*results!G40*chem!$K$6/((chem!$G$6+results!G38)*(chem!$I$6+results!G40)*(chem!$K$6+results!G44)))</f>
        <v>4.8820276692270424E-11</v>
      </c>
      <c r="R51" s="30">
        <f>ABS(H51-chem!$E$6*results!H38*results!H40*chem!$K$6/((chem!$G$6+results!H38)*(chem!$I$6+results!H40)*(chem!$K$6+results!H44)))</f>
        <v>1.3764334137934429E-11</v>
      </c>
      <c r="S51" s="30">
        <f>ABS(I51-chem!$E$6*results!I38*results!I40*chem!$K$6/((chem!$G$6+results!I38)*(chem!$I$6+results!I40)*(chem!$K$6+results!I44)))</f>
        <v>5.1877636789241649E-11</v>
      </c>
      <c r="T51" s="30">
        <f>ABS(J51-chem!$E$6*results!J38*results!J40*chem!$K$6/((chem!$G$6+results!J38)*(chem!$I$6+results!J40)*(chem!$K$6+results!J44)))</f>
        <v>4.3373902600530971E-11</v>
      </c>
      <c r="U51" s="30">
        <f>ABS(K51-chem!$E$6*results!K38*results!K40*chem!$K$6/((chem!$G$6+results!K38)*(chem!$I$6+results!K40)*(chem!$K$6+results!K44)))</f>
        <v>3.6058039570136501E-11</v>
      </c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:32" s="18" customFormat="1" x14ac:dyDescent="0.35">
      <c r="A52" s="16" t="str">
        <f>A35</f>
        <v>aq species conc</v>
      </c>
      <c r="B52" s="62" t="s">
        <v>64</v>
      </c>
      <c r="C52" s="62"/>
      <c r="D52" s="62"/>
      <c r="E52" s="62"/>
      <c r="F52" s="62"/>
      <c r="G52" s="62"/>
      <c r="H52" s="62"/>
      <c r="I52" s="62"/>
      <c r="J52" s="62"/>
      <c r="K52" s="62"/>
      <c r="L52" s="29" t="s">
        <v>60</v>
      </c>
      <c r="M52" s="17"/>
      <c r="N52" s="17"/>
      <c r="O52" s="17"/>
      <c r="P52" s="17"/>
      <c r="Q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</row>
    <row r="53" spans="1:32" x14ac:dyDescent="0.35">
      <c r="A53" t="str">
        <f>'wat types'!$A$2</f>
        <v xml:space="preserve">          h2o(p)         </v>
      </c>
      <c r="B53" s="15">
        <v>55.555599999999998</v>
      </c>
      <c r="C53" s="15">
        <v>55.555599999999998</v>
      </c>
      <c r="D53" s="15">
        <v>55.555599999999998</v>
      </c>
      <c r="E53" s="15">
        <v>55.555599999999998</v>
      </c>
      <c r="F53" s="15">
        <v>55.555599999999998</v>
      </c>
      <c r="G53" s="15">
        <v>55.555599999999998</v>
      </c>
      <c r="H53" s="15">
        <v>55.555599999999998</v>
      </c>
      <c r="I53" s="15">
        <v>55.555599999999998</v>
      </c>
      <c r="J53" s="15">
        <v>55.555599999999998</v>
      </c>
      <c r="K53" s="15">
        <v>55.555599999999998</v>
      </c>
      <c r="L53" s="24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1"/>
      <c r="X53" s="1"/>
      <c r="Y53" s="1"/>
      <c r="Z53" s="1"/>
      <c r="AA53" s="1"/>
      <c r="AB53" s="1"/>
      <c r="AC53" s="1"/>
      <c r="AD53" s="1"/>
      <c r="AE53" s="1"/>
      <c r="AF53" s="1"/>
    </row>
    <row r="54" spans="1:32" x14ac:dyDescent="0.35">
      <c r="A54" t="str">
        <f>'wat types'!$A$3</f>
        <v xml:space="preserve">          cl-            </v>
      </c>
      <c r="B54" s="15">
        <v>1.65601E-4</v>
      </c>
      <c r="C54" s="15">
        <v>1.0440700000000001E-4</v>
      </c>
      <c r="D54" s="15">
        <v>6.1565100000000005E-5</v>
      </c>
      <c r="E54" s="15">
        <v>3.4109100000000002E-5</v>
      </c>
      <c r="F54" s="15">
        <v>1.7853799999999998E-5</v>
      </c>
      <c r="G54" s="15">
        <v>8.8798799999999998E-6</v>
      </c>
      <c r="H54" s="15">
        <v>4.2223000000000002E-6</v>
      </c>
      <c r="I54" s="15">
        <v>1.9383799999999998E-6</v>
      </c>
      <c r="J54" s="15">
        <v>8.9038200000000001E-7</v>
      </c>
      <c r="K54" s="15">
        <v>4.8505199999999997E-7</v>
      </c>
      <c r="L54" s="44"/>
      <c r="M54" s="40"/>
      <c r="N54" s="40"/>
      <c r="O54" s="40"/>
      <c r="P54" s="40"/>
      <c r="Q54" s="40"/>
      <c r="R54" s="40"/>
      <c r="S54" s="20"/>
      <c r="T54" s="20"/>
      <c r="U54" s="20"/>
      <c r="V54" s="20"/>
      <c r="W54" s="1"/>
      <c r="X54" s="1"/>
      <c r="Y54" s="1"/>
      <c r="Z54" s="1"/>
      <c r="AA54" s="1"/>
      <c r="AB54" s="1"/>
      <c r="AC54" s="1"/>
      <c r="AD54" s="1"/>
      <c r="AE54" s="1"/>
      <c r="AF54" s="1"/>
    </row>
    <row r="55" spans="1:32" x14ac:dyDescent="0.35">
      <c r="A55" t="str">
        <f>'wat types'!$A$4</f>
        <v xml:space="preserve">          ch2o(aq)       </v>
      </c>
      <c r="B55" s="15">
        <v>1.7313300000000001E-4</v>
      </c>
      <c r="C55" s="15">
        <v>1.07755E-4</v>
      </c>
      <c r="D55" s="15">
        <v>6.6779400000000006E-5</v>
      </c>
      <c r="E55" s="15">
        <v>4.1109200000000003E-5</v>
      </c>
      <c r="F55" s="15">
        <v>2.5565500000000001E-5</v>
      </c>
      <c r="G55" s="15">
        <v>1.6645899999999999E-5</v>
      </c>
      <c r="H55" s="15">
        <v>1.18322E-5</v>
      </c>
      <c r="I55" s="15">
        <v>9.3921699999999992E-6</v>
      </c>
      <c r="J55" s="15">
        <v>8.2435899999999995E-6</v>
      </c>
      <c r="K55" s="15">
        <v>7.7917700000000001E-6</v>
      </c>
      <c r="L55" s="24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</row>
    <row r="56" spans="1:32" x14ac:dyDescent="0.35">
      <c r="A56" t="str">
        <f>'wat types'!$A$5</f>
        <v xml:space="preserve">          h+             </v>
      </c>
      <c r="B56" s="15">
        <v>1.01221E-7</v>
      </c>
      <c r="C56" s="15">
        <v>1.0184200000000001E-7</v>
      </c>
      <c r="D56" s="15">
        <v>1.01426E-7</v>
      </c>
      <c r="E56" s="15">
        <v>1.00945E-7</v>
      </c>
      <c r="F56" s="15">
        <v>1.00648E-7</v>
      </c>
      <c r="G56" s="15">
        <v>1.00508E-7</v>
      </c>
      <c r="H56" s="15">
        <v>1.0045399999999999E-7</v>
      </c>
      <c r="I56" s="15">
        <v>1.00436E-7</v>
      </c>
      <c r="J56" s="15">
        <v>1.0043099999999999E-7</v>
      </c>
      <c r="K56" s="15">
        <v>1.0043000000000001E-7</v>
      </c>
      <c r="L56" s="24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</row>
    <row r="57" spans="1:32" x14ac:dyDescent="0.35">
      <c r="A57" t="str">
        <f>'wat types'!$A$6</f>
        <v xml:space="preserve">          no3-           </v>
      </c>
      <c r="B57" s="15">
        <v>7.4906499999999998E-5</v>
      </c>
      <c r="C57" s="15">
        <v>4.7163500000000003E-5</v>
      </c>
      <c r="D57" s="15">
        <v>3.1558199999999999E-5</v>
      </c>
      <c r="E57" s="15">
        <v>2.2023900000000001E-5</v>
      </c>
      <c r="F57" s="15">
        <v>1.6101100000000001E-5</v>
      </c>
      <c r="G57" s="15">
        <v>1.25601E-5</v>
      </c>
      <c r="H57" s="15">
        <v>1.0574700000000001E-5</v>
      </c>
      <c r="I57" s="15">
        <v>9.5374400000000006E-6</v>
      </c>
      <c r="J57" s="15">
        <v>9.0382999999999995E-6</v>
      </c>
      <c r="K57" s="15">
        <v>8.8391699999999996E-6</v>
      </c>
      <c r="L57" s="24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</row>
    <row r="58" spans="1:32" x14ac:dyDescent="0.35">
      <c r="A58" t="str">
        <f>'wat types'!$A$7</f>
        <v xml:space="preserve">          n2(aq)(p)      </v>
      </c>
      <c r="B58" s="15">
        <v>4.9519199999999998E-5</v>
      </c>
      <c r="C58" s="15">
        <v>3.3099599999999997E-5</v>
      </c>
      <c r="D58" s="15">
        <v>1.9695600000000002E-5</v>
      </c>
      <c r="E58" s="15">
        <v>1.08721E-5</v>
      </c>
      <c r="F58" s="15">
        <v>5.7871E-6</v>
      </c>
      <c r="G58" s="15">
        <v>3.1154899999999998E-6</v>
      </c>
      <c r="H58" s="15">
        <v>1.8026999999999999E-6</v>
      </c>
      <c r="I58" s="15">
        <v>1.19078E-6</v>
      </c>
      <c r="J58" s="15">
        <v>9.2159199999999998E-7</v>
      </c>
      <c r="K58" s="15">
        <v>8.2051699999999996E-7</v>
      </c>
      <c r="L58" s="24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</row>
    <row r="59" spans="1:32" x14ac:dyDescent="0.35">
      <c r="A59" t="str">
        <f>'wat types'!$A$8</f>
        <v xml:space="preserve">          ca+2           </v>
      </c>
      <c r="B59" s="15">
        <v>6.1739400000000002E-3</v>
      </c>
      <c r="C59" s="15">
        <v>6.5020700000000004E-3</v>
      </c>
      <c r="D59" s="15">
        <v>6.7308200000000002E-3</v>
      </c>
      <c r="E59" s="15">
        <v>6.8772900000000003E-3</v>
      </c>
      <c r="F59" s="15">
        <v>6.9640800000000001E-3</v>
      </c>
      <c r="G59" s="15">
        <v>7.0120599999999996E-3</v>
      </c>
      <c r="H59" s="15">
        <v>7.0369999999999999E-3</v>
      </c>
      <c r="I59" s="15">
        <v>7.04924E-3</v>
      </c>
      <c r="J59" s="15">
        <v>7.0548700000000004E-3</v>
      </c>
      <c r="K59" s="15">
        <v>7.0570399999999997E-3</v>
      </c>
      <c r="L59" s="24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</row>
    <row r="60" spans="1:32" x14ac:dyDescent="0.35">
      <c r="A60" t="str">
        <f>'wat types'!$A$9</f>
        <v xml:space="preserve">          hco3-          </v>
      </c>
      <c r="B60" s="15">
        <v>1.1571999999999999E-3</v>
      </c>
      <c r="C60" s="15">
        <v>1.1055399999999999E-3</v>
      </c>
      <c r="D60" s="15">
        <v>1.06361E-3</v>
      </c>
      <c r="E60" s="15">
        <v>1.0360199999999999E-3</v>
      </c>
      <c r="F60" s="15">
        <v>1.0200999999999999E-3</v>
      </c>
      <c r="G60" s="15">
        <v>1.0117100000000001E-3</v>
      </c>
      <c r="H60" s="15">
        <v>1.0075800000000001E-3</v>
      </c>
      <c r="I60" s="15">
        <v>1.0056500000000001E-3</v>
      </c>
      <c r="J60" s="15">
        <v>1.0047999999999999E-3</v>
      </c>
      <c r="K60" s="15">
        <v>1.0044800000000001E-3</v>
      </c>
      <c r="L60" s="24"/>
    </row>
    <row r="61" spans="1:32" x14ac:dyDescent="0.35">
      <c r="A61" t="str">
        <f>'wat types'!$A$10</f>
        <v xml:space="preserve">          o2(aq)         </v>
      </c>
      <c r="B61" s="15">
        <v>1.07488E-7</v>
      </c>
      <c r="C61" s="15">
        <v>3.9233099999999997E-8</v>
      </c>
      <c r="D61" s="15">
        <v>1.50428E-8</v>
      </c>
      <c r="E61" s="15">
        <v>5.9540199999999997E-9</v>
      </c>
      <c r="F61" s="15">
        <v>2.3820800000000001E-9</v>
      </c>
      <c r="G61" s="15">
        <v>9.3080200000000005E-10</v>
      </c>
      <c r="H61" s="15">
        <v>3.41951E-10</v>
      </c>
      <c r="I61" s="15">
        <v>1.15887E-10</v>
      </c>
      <c r="J61" s="15">
        <v>3.7045099999999999E-11</v>
      </c>
      <c r="K61" s="15">
        <v>1.35391E-11</v>
      </c>
      <c r="L61" s="24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</row>
    <row r="62" spans="1:32" x14ac:dyDescent="0.35">
      <c r="A62" t="str">
        <f>'wat types'!$A$11</f>
        <v xml:space="preserve">          co3-2          </v>
      </c>
      <c r="B62" s="15">
        <v>5.3621299999999999E-7</v>
      </c>
      <c r="C62" s="15">
        <v>5.0915300000000001E-7</v>
      </c>
      <c r="D62" s="15">
        <v>4.9185E-7</v>
      </c>
      <c r="E62" s="15">
        <v>4.8137399999999998E-7</v>
      </c>
      <c r="F62" s="15">
        <v>4.7537499999999998E-7</v>
      </c>
      <c r="G62" s="15">
        <v>4.7212200000000002E-7</v>
      </c>
      <c r="H62" s="15">
        <v>4.7044900000000001E-7</v>
      </c>
      <c r="I62" s="15">
        <v>4.6963200000000001E-7</v>
      </c>
      <c r="J62" s="15">
        <v>4.6925800000000001E-7</v>
      </c>
      <c r="K62" s="15">
        <v>4.6911300000000003E-7</v>
      </c>
      <c r="L62" s="24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</row>
    <row r="63" spans="1:32" x14ac:dyDescent="0.35">
      <c r="A63" s="2" t="s">
        <v>22</v>
      </c>
      <c r="B63" s="15"/>
      <c r="C63" s="15"/>
      <c r="D63" s="15"/>
      <c r="E63" s="15"/>
      <c r="F63" s="15"/>
      <c r="G63" s="15"/>
      <c r="H63" s="15"/>
      <c r="I63" s="15"/>
      <c r="J63" s="15"/>
      <c r="K63" s="15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</row>
    <row r="64" spans="1:32" x14ac:dyDescent="0.35">
      <c r="A64" t="s">
        <v>32</v>
      </c>
      <c r="B64" s="15">
        <v>-5.6461599999999999E-3</v>
      </c>
      <c r="C64" s="15">
        <v>-1.92691E-3</v>
      </c>
      <c r="D64" s="15">
        <v>-7.2163200000000005E-4</v>
      </c>
      <c r="E64" s="15">
        <v>-2.89673E-4</v>
      </c>
      <c r="F64" s="15">
        <v>-1.2599200000000001E-4</v>
      </c>
      <c r="G64" s="15">
        <v>-6.2175999999999996E-5</v>
      </c>
      <c r="H64" s="15">
        <v>-3.6578900000000003E-5</v>
      </c>
      <c r="I64" s="15">
        <v>-2.5970200000000001E-5</v>
      </c>
      <c r="J64" s="15">
        <v>-2.1532E-5</v>
      </c>
      <c r="K64" s="15">
        <v>-1.9884299999999999E-5</v>
      </c>
      <c r="L64" s="28">
        <f>ABS(1-B59*B60/(B56*chem!$H$21))</f>
        <v>4.74336171674139E-7</v>
      </c>
      <c r="M64" s="20">
        <f>ABS(1-C59*C60/(C56*chem!$H$21))</f>
        <v>1.8840138814590901E-6</v>
      </c>
      <c r="N64" s="20">
        <f>ABS(1-D59*D60/(D56*chem!$H$21))</f>
        <v>2.5101252887349546E-6</v>
      </c>
      <c r="O64" s="20">
        <f>ABS(1-E59*E60/(E56*chem!$H$21))</f>
        <v>1.5311725514166596E-6</v>
      </c>
      <c r="P64" s="20">
        <f>ABS(1-F59*F60/(F56*chem!$H$21))</f>
        <v>3.1077171154247907E-6</v>
      </c>
      <c r="Q64" s="20">
        <f>ABS(1-G59*G60/(G56*chem!$H$21))</f>
        <v>2.3835619218370852E-6</v>
      </c>
      <c r="R64" s="20">
        <f>ABS(1-H59*H60/(H56*chem!$H$21))</f>
        <v>3.3457314030371776E-7</v>
      </c>
      <c r="S64" s="20">
        <f>ABS(1-I59*I60/(I56*chem!$H$21))</f>
        <v>5.8294929483615476E-7</v>
      </c>
      <c r="T64" s="20">
        <f>ABS(1-J59*J60/(J56*chem!$H$21))</f>
        <v>1.9682452323532829E-6</v>
      </c>
      <c r="U64" s="20">
        <f>ABS(1-K59*K60/(K56*chem!$H$21))</f>
        <v>9.449642583980733E-7</v>
      </c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</row>
    <row r="65" spans="1:32" x14ac:dyDescent="0.35">
      <c r="A65" t="s">
        <v>23</v>
      </c>
      <c r="B65" s="15">
        <v>-5.0368699999999996E-6</v>
      </c>
      <c r="C65" s="15">
        <v>-1.27298E-6</v>
      </c>
      <c r="D65" s="15">
        <v>-3.3702599999999999E-7</v>
      </c>
      <c r="E65" s="15">
        <v>-9.2403400000000005E-8</v>
      </c>
      <c r="F65" s="15">
        <v>-2.6060700000000001E-8</v>
      </c>
      <c r="G65" s="15">
        <v>-7.5532799999999998E-9</v>
      </c>
      <c r="H65" s="15">
        <v>-2.3032099999999999E-9</v>
      </c>
      <c r="I65" s="15">
        <v>-8.0427900000000003E-10</v>
      </c>
      <c r="J65" s="15">
        <v>-3.7726200000000002E-10</v>
      </c>
      <c r="K65" s="33">
        <v>-2.6310299999999998E-10</v>
      </c>
      <c r="L65" s="20">
        <f>ABS(1-B56*B62/(B60*chem!$N$32))</f>
        <v>1.0651126909344555E-6</v>
      </c>
      <c r="M65" s="20">
        <f>ABS(1-C56*C62/(C60*chem!$N$32))</f>
        <v>1.7637029561257123E-6</v>
      </c>
      <c r="N65" s="20">
        <f>ABS(1-D56*D62/(D60*chem!$N$32))</f>
        <v>1.0082618769891027E-6</v>
      </c>
      <c r="O65" s="20">
        <f>ABS(1-E56*E62/(E60*chem!$N$32))</f>
        <v>1.6062501487779102E-6</v>
      </c>
      <c r="P65" s="20">
        <f>ABS(1-F56*F62/(F60*chem!$N$32))</f>
        <v>2.9007986616091941E-6</v>
      </c>
      <c r="Q65" s="20">
        <f>ABS(1-G56*G62/(G60*chem!$N$32))</f>
        <v>2.7018399247902281E-6</v>
      </c>
      <c r="R65" s="20">
        <f>ABS(1-H56*H62/(H60*chem!$N$32))</f>
        <v>5.6655414049089359E-7</v>
      </c>
      <c r="S65" s="20">
        <f>ABS(1-I56*I62/(I60*chem!$N$32))</f>
        <v>5.3300737445916013E-7</v>
      </c>
      <c r="T65" s="20">
        <f>ABS(1-J56*J62/(J60*chem!$N$32))</f>
        <v>3.5478282278678108E-7</v>
      </c>
      <c r="U65" s="20">
        <f>ABS(1-K56*K62/(K60*chem!$N$32))</f>
        <v>8.3606798861879383E-7</v>
      </c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</row>
    <row r="66" spans="1:32" x14ac:dyDescent="0.35">
      <c r="A66" s="2" t="s">
        <v>21</v>
      </c>
      <c r="B66" s="15"/>
      <c r="C66" s="15"/>
      <c r="D66" s="15"/>
      <c r="E66" s="15"/>
      <c r="F66" s="15"/>
      <c r="G66" s="15"/>
      <c r="H66" s="15"/>
      <c r="I66" s="15"/>
      <c r="J66" s="15"/>
      <c r="K66" s="33"/>
      <c r="L66" s="32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</row>
    <row r="67" spans="1:32" x14ac:dyDescent="0.35">
      <c r="A67" t="s">
        <v>24</v>
      </c>
      <c r="B67" s="15">
        <v>7.8472500000000001E-4</v>
      </c>
      <c r="C67" s="15">
        <v>1.9007E-4</v>
      </c>
      <c r="D67" s="15">
        <v>4.7012399999999997E-5</v>
      </c>
      <c r="E67" s="15">
        <v>1.1748E-5</v>
      </c>
      <c r="F67" s="15">
        <v>2.96833E-6</v>
      </c>
      <c r="G67" s="15">
        <v>7.6194699999999999E-7</v>
      </c>
      <c r="H67" s="15">
        <v>1.9992899999999999E-7</v>
      </c>
      <c r="I67" s="15">
        <v>5.3914399999999997E-8</v>
      </c>
      <c r="J67" s="15">
        <v>1.5144299999999999E-8</v>
      </c>
      <c r="K67" s="33">
        <v>5.2338799999999997E-9</v>
      </c>
      <c r="L67" s="27">
        <f>ABS(B67-chem!$E$5*B55*B61/((chem!$G$5+B55)*(chem!$I$5+B61)))</f>
        <v>3.3721055929135033E-9</v>
      </c>
      <c r="M67" s="27">
        <f>ABS(C67-chem!$E$5*C55*C61/((chem!$G$5+C55)*(chem!$I$5+C61)))</f>
        <v>9.755041826403632E-10</v>
      </c>
      <c r="N67" s="27">
        <f>ABS(D67-chem!$E$5*D55*D61/((chem!$G$5+D55)*(chem!$I$5+D61)))</f>
        <v>1.4565143552645919E-10</v>
      </c>
      <c r="O67" s="27">
        <f>ABS(E67-chem!$E$5*E55*E61/((chem!$G$5+E55)*(chem!$I$5+E61)))</f>
        <v>1.6064621346774475E-11</v>
      </c>
      <c r="P67" s="27">
        <f>ABS(F67-chem!$E$5*F55*F61/((chem!$G$5+F55)*(chem!$I$5+F61)))</f>
        <v>1.1029900332163144E-11</v>
      </c>
      <c r="Q67" s="27">
        <f>ABS(G67-chem!$E$5*G55*G61/((chem!$G$5+G55)*(chem!$I$5+G61)))</f>
        <v>5.3673472774602656E-13</v>
      </c>
      <c r="R67" s="27">
        <f>ABS(H67-chem!$E$5*H55*H61/((chem!$G$5+H55)*(chem!$I$5+H61)))</f>
        <v>1.1237855266529704E-13</v>
      </c>
      <c r="S67" s="27">
        <f>ABS(I67-chem!$E$5*I55*I61/((chem!$G$5+I55)*(chem!$I$5+I61)))</f>
        <v>1.1527916747482921E-13</v>
      </c>
      <c r="T67" s="27">
        <f>ABS(J67-chem!$E$5*J55*J61/((chem!$G$5+J55)*(chem!$I$5+J61)))</f>
        <v>3.0578527526018157E-14</v>
      </c>
      <c r="U67" s="27">
        <f>ABS(K67-chem!$E$5*K55*K61/((chem!$G$5+K55)*(chem!$I$5+K61)))</f>
        <v>9.2576199915786534E-15</v>
      </c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</row>
    <row r="68" spans="1:32" x14ac:dyDescent="0.35">
      <c r="A68" t="s">
        <v>25</v>
      </c>
      <c r="B68" s="15">
        <v>2.74779E-3</v>
      </c>
      <c r="C68" s="15">
        <v>1.1317600000000001E-3</v>
      </c>
      <c r="D68" s="15">
        <v>4.8416399999999998E-4</v>
      </c>
      <c r="E68" s="15">
        <v>2.1212499999999999E-4</v>
      </c>
      <c r="F68" s="15">
        <v>9.7605599999999999E-5</v>
      </c>
      <c r="G68" s="15">
        <v>4.9920399999999997E-5</v>
      </c>
      <c r="H68" s="15">
        <v>2.9987700000000001E-5</v>
      </c>
      <c r="I68" s="15">
        <v>2.1509999999999999E-5</v>
      </c>
      <c r="J68" s="15">
        <v>1.7907600000000001E-5</v>
      </c>
      <c r="K68" s="34">
        <v>1.6559099999999999E-5</v>
      </c>
      <c r="L68" s="30">
        <f>ABS(B68-chem!$E$6*results!B55*results!B57*chem!$K$6/((chem!$G$6+results!B55)*(chem!$I$6+results!B57)*(chem!$K$6+results!B61)))</f>
        <v>4.8264082574273059E-9</v>
      </c>
      <c r="M68" s="30">
        <f>ABS(C68-chem!$E$6*results!C55*results!C57*chem!$K$6/((chem!$G$6+results!C55)*(chem!$I$6+results!C57)*(chem!$K$6+results!C61)))</f>
        <v>7.4099448734050999E-9</v>
      </c>
      <c r="N68" s="30">
        <f>ABS(D68-chem!$E$6*results!D55*results!D57*chem!$K$6/((chem!$G$6+results!D55)*(chem!$I$6+results!D57)*(chem!$K$6+results!D61)))</f>
        <v>5.893724988842268E-10</v>
      </c>
      <c r="O68" s="30">
        <f>ABS(E68-chem!$E$6*results!E55*results!E57*chem!$K$6/((chem!$G$6+results!E55)*(chem!$I$6+results!E57)*(chem!$K$6+results!E61)))</f>
        <v>8.5317226693843937E-10</v>
      </c>
      <c r="P68" s="30">
        <f>ABS(F68-chem!$E$6*results!F55*results!F57*chem!$K$6/((chem!$G$6+results!F55)*(chem!$I$6+results!F57)*(chem!$K$6+results!F61)))</f>
        <v>2.88633080177997E-10</v>
      </c>
      <c r="Q68" s="30">
        <f>ABS(G68-chem!$E$6*results!G55*results!G57*chem!$K$6/((chem!$G$6+results!G55)*(chem!$I$6+results!G57)*(chem!$K$6+results!G61)))</f>
        <v>6.9067565123365985E-11</v>
      </c>
      <c r="R68" s="30">
        <f>ABS(H68-chem!$E$6*results!H55*results!H57*chem!$K$6/((chem!$G$6+results!H55)*(chem!$I$6+results!H57)*(chem!$K$6+results!H61)))</f>
        <v>1.1802455166616196E-10</v>
      </c>
      <c r="S68" s="30">
        <f>ABS(I68-chem!$E$6*results!I55*results!I57*chem!$K$6/((chem!$G$6+results!I55)*(chem!$I$6+results!I57)*(chem!$K$6+results!I61)))</f>
        <v>4.3700089255799615E-13</v>
      </c>
      <c r="T68" s="30">
        <f>ABS(J68-chem!$E$6*results!J55*results!J57*chem!$K$6/((chem!$G$6+results!J55)*(chem!$I$6+results!J57)*(chem!$K$6+results!J61)))</f>
        <v>2.1453934406724575E-11</v>
      </c>
      <c r="U68" s="30">
        <f>ABS(K68-chem!$E$6*results!K55*results!K57*chem!$K$6/((chem!$G$6+results!K55)*(chem!$I$6+results!K57)*(chem!$K$6+results!K61)))</f>
        <v>2.0295812421097445E-12</v>
      </c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</row>
    <row r="69" spans="1:32" s="18" customFormat="1" x14ac:dyDescent="0.35">
      <c r="A69" s="16" t="str">
        <f>A52</f>
        <v>aq species conc</v>
      </c>
      <c r="B69" s="62" t="s">
        <v>66</v>
      </c>
      <c r="C69" s="62"/>
      <c r="D69" s="62"/>
      <c r="E69" s="62"/>
      <c r="F69" s="62"/>
      <c r="G69" s="62"/>
      <c r="H69" s="62"/>
      <c r="I69" s="62"/>
      <c r="J69" s="62"/>
      <c r="K69" s="62"/>
      <c r="L69" s="29" t="s">
        <v>60</v>
      </c>
      <c r="M69" s="17"/>
      <c r="N69" s="17"/>
      <c r="O69" s="17"/>
      <c r="P69" s="17"/>
      <c r="Q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</row>
    <row r="70" spans="1:32" x14ac:dyDescent="0.35">
      <c r="A70" t="str">
        <f>'wat types'!$A$2</f>
        <v xml:space="preserve">          h2o(p)         </v>
      </c>
      <c r="B70" s="15">
        <v>55.555599999999998</v>
      </c>
      <c r="C70" s="15">
        <v>55.555599999999998</v>
      </c>
      <c r="D70" s="15">
        <v>55.555599999999998</v>
      </c>
      <c r="E70" s="15">
        <v>55.555599999999998</v>
      </c>
      <c r="F70" s="15">
        <v>55.555599999999998</v>
      </c>
      <c r="G70" s="15">
        <v>55.555599999999998</v>
      </c>
      <c r="H70" s="15">
        <v>55.555599999999998</v>
      </c>
      <c r="I70" s="15">
        <v>55.555599999999998</v>
      </c>
      <c r="J70" s="15">
        <v>55.555599999999998</v>
      </c>
      <c r="K70" s="15">
        <v>55.555599999999998</v>
      </c>
      <c r="L70" s="24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1"/>
      <c r="X70" s="1"/>
      <c r="Y70" s="1"/>
      <c r="Z70" s="1"/>
      <c r="AA70" s="1"/>
      <c r="AB70" s="1"/>
      <c r="AC70" s="1"/>
      <c r="AD70" s="1"/>
      <c r="AE70" s="1"/>
      <c r="AF70" s="1"/>
    </row>
    <row r="71" spans="1:32" x14ac:dyDescent="0.35">
      <c r="A71" t="str">
        <f>'wat types'!$A$3</f>
        <v xml:space="preserve">          cl-            </v>
      </c>
      <c r="B71" s="15">
        <v>5.2205299999999997E-4</v>
      </c>
      <c r="C71" s="15">
        <v>4.77799E-4</v>
      </c>
      <c r="D71" s="15">
        <v>4.3548300000000002E-4</v>
      </c>
      <c r="E71" s="15">
        <v>3.9580799999999999E-4</v>
      </c>
      <c r="F71" s="15">
        <v>3.5949499999999999E-4</v>
      </c>
      <c r="G71" s="15">
        <v>3.2728400000000001E-4</v>
      </c>
      <c r="H71" s="15">
        <v>2.9993100000000003E-4</v>
      </c>
      <c r="I71" s="15">
        <v>2.7820999999999998E-4</v>
      </c>
      <c r="J71" s="15">
        <v>2.6291200000000002E-4</v>
      </c>
      <c r="K71" s="15">
        <v>2.5484699999999999E-4</v>
      </c>
      <c r="L71" s="44"/>
      <c r="M71" s="40"/>
      <c r="N71" s="40"/>
      <c r="O71" s="40"/>
      <c r="P71" s="40"/>
      <c r="Q71" s="40"/>
      <c r="R71" s="40"/>
      <c r="S71" s="20"/>
      <c r="T71" s="20"/>
      <c r="U71" s="20"/>
      <c r="V71" s="20"/>
      <c r="W71" s="1"/>
      <c r="X71" s="1"/>
      <c r="Y71" s="1"/>
      <c r="Z71" s="1"/>
      <c r="AA71" s="1"/>
      <c r="AB71" s="1"/>
      <c r="AC71" s="1"/>
      <c r="AD71" s="1"/>
      <c r="AE71" s="1"/>
      <c r="AF71" s="1"/>
    </row>
    <row r="72" spans="1:32" x14ac:dyDescent="0.35">
      <c r="A72" t="str">
        <f>'wat types'!$A$4</f>
        <v xml:space="preserve">          ch2o(aq)       </v>
      </c>
      <c r="B72" s="15">
        <v>3.1724999999999999E-4</v>
      </c>
      <c r="C72" s="15">
        <v>2.6399000000000003E-4</v>
      </c>
      <c r="D72" s="15">
        <v>2.28383E-4</v>
      </c>
      <c r="E72" s="15">
        <v>2.0163399999999999E-4</v>
      </c>
      <c r="F72" s="15">
        <v>1.80082E-4</v>
      </c>
      <c r="G72" s="15">
        <v>1.62263E-4</v>
      </c>
      <c r="H72" s="15">
        <v>1.47699E-4</v>
      </c>
      <c r="I72" s="15">
        <v>1.3637E-4</v>
      </c>
      <c r="J72" s="15">
        <v>1.28479E-4</v>
      </c>
      <c r="K72" s="15">
        <v>1.24342E-4</v>
      </c>
      <c r="L72" s="24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</row>
    <row r="73" spans="1:32" x14ac:dyDescent="0.35">
      <c r="A73" t="str">
        <f>'wat types'!$A$5</f>
        <v xml:space="preserve">          h+             </v>
      </c>
      <c r="B73" s="15">
        <v>1.0641E-7</v>
      </c>
      <c r="C73" s="15">
        <v>1.1035199999999999E-7</v>
      </c>
      <c r="D73" s="15">
        <v>1.12612E-7</v>
      </c>
      <c r="E73" s="15">
        <v>1.1386400000000001E-7</v>
      </c>
      <c r="F73" s="15">
        <v>1.14466E-7</v>
      </c>
      <c r="G73" s="15">
        <v>1.14644E-7</v>
      </c>
      <c r="H73" s="15">
        <v>1.14563E-7</v>
      </c>
      <c r="I73" s="15">
        <v>1.14356E-7</v>
      </c>
      <c r="J73" s="15">
        <v>1.14139E-7</v>
      </c>
      <c r="K73" s="15">
        <v>1.14001E-7</v>
      </c>
      <c r="L73" s="24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</row>
    <row r="74" spans="1:32" x14ac:dyDescent="0.35">
      <c r="A74" t="str">
        <f>'wat types'!$A$6</f>
        <v xml:space="preserve">          no3-           </v>
      </c>
      <c r="B74" s="15">
        <v>4.7495399999999999E-5</v>
      </c>
      <c r="C74" s="15">
        <v>2.2646999999999998E-5</v>
      </c>
      <c r="D74" s="15">
        <v>1.11162E-5</v>
      </c>
      <c r="E74" s="15">
        <v>5.6078199999999996E-6</v>
      </c>
      <c r="F74" s="15">
        <v>2.9086899999999999E-6</v>
      </c>
      <c r="G74" s="15">
        <v>1.5521600000000001E-6</v>
      </c>
      <c r="H74" s="15">
        <v>8.5399199999999999E-7</v>
      </c>
      <c r="I74" s="15">
        <v>4.8931900000000002E-7</v>
      </c>
      <c r="J74" s="15">
        <v>3.0268000000000001E-7</v>
      </c>
      <c r="K74" s="15">
        <v>2.22211E-7</v>
      </c>
      <c r="L74" s="24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</row>
    <row r="75" spans="1:32" x14ac:dyDescent="0.35">
      <c r="A75" t="str">
        <f>'wat types'!$A$7</f>
        <v xml:space="preserve">          n2(aq)(p)      </v>
      </c>
      <c r="B75" s="15">
        <v>2.39669E-4</v>
      </c>
      <c r="C75" s="15">
        <v>2.30187E-4</v>
      </c>
      <c r="D75" s="15">
        <v>2.1500600000000001E-4</v>
      </c>
      <c r="E75" s="15">
        <v>1.98121E-4</v>
      </c>
      <c r="F75" s="15">
        <v>1.8149600000000001E-4</v>
      </c>
      <c r="G75" s="15">
        <v>1.66229E-4</v>
      </c>
      <c r="H75" s="15">
        <v>1.53039E-4</v>
      </c>
      <c r="I75" s="15">
        <v>1.4246899999999999E-4</v>
      </c>
      <c r="J75" s="15">
        <v>1.3499000000000001E-4</v>
      </c>
      <c r="K75" s="15">
        <v>1.3103799999999999E-4</v>
      </c>
      <c r="L75" s="24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</row>
    <row r="76" spans="1:32" x14ac:dyDescent="0.35">
      <c r="A76" t="str">
        <f>'wat types'!$A$8</f>
        <v xml:space="preserve">          ca+2           </v>
      </c>
      <c r="B76" s="15">
        <v>4.31037E-3</v>
      </c>
      <c r="C76" s="15">
        <v>4.5488300000000002E-3</v>
      </c>
      <c r="D76" s="15">
        <v>4.7737700000000001E-3</v>
      </c>
      <c r="E76" s="15">
        <v>4.9833400000000002E-3</v>
      </c>
      <c r="F76" s="15">
        <v>5.1745599999999999E-3</v>
      </c>
      <c r="G76" s="15">
        <v>5.3439300000000002E-3</v>
      </c>
      <c r="H76" s="15">
        <v>5.4876400000000002E-3</v>
      </c>
      <c r="I76" s="15">
        <v>5.6017100000000002E-3</v>
      </c>
      <c r="J76" s="15">
        <v>5.6820400000000002E-3</v>
      </c>
      <c r="K76" s="15">
        <v>5.7243800000000003E-3</v>
      </c>
      <c r="L76" s="24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</row>
    <row r="77" spans="1:32" x14ac:dyDescent="0.35">
      <c r="A77" t="str">
        <f>'wat types'!$A$9</f>
        <v xml:space="preserve">          hco3-          </v>
      </c>
      <c r="B77" s="15">
        <v>1.74249E-3</v>
      </c>
      <c r="C77" s="15">
        <v>1.7122999999999999E-3</v>
      </c>
      <c r="D77" s="15">
        <v>1.6650300000000001E-3</v>
      </c>
      <c r="E77" s="15">
        <v>1.6127400000000001E-3</v>
      </c>
      <c r="F77" s="15">
        <v>1.5613599999999999E-3</v>
      </c>
      <c r="G77" s="15">
        <v>1.5142300000000001E-3</v>
      </c>
      <c r="H77" s="15">
        <v>1.4735200000000001E-3</v>
      </c>
      <c r="I77" s="15">
        <v>1.44092E-3</v>
      </c>
      <c r="J77" s="15">
        <v>1.4178400000000001E-3</v>
      </c>
      <c r="K77" s="15">
        <v>1.40566E-3</v>
      </c>
      <c r="L77" s="24"/>
    </row>
    <row r="78" spans="1:32" x14ac:dyDescent="0.35">
      <c r="A78" t="str">
        <f>'wat types'!$A$10</f>
        <v xml:space="preserve">          o2(aq)         </v>
      </c>
      <c r="B78" s="15">
        <v>6.5629499999999999E-8</v>
      </c>
      <c r="C78" s="15">
        <v>1.8204799999999999E-8</v>
      </c>
      <c r="D78" s="15">
        <v>5.0265800000000002E-9</v>
      </c>
      <c r="E78" s="15">
        <v>1.3769999999999999E-9</v>
      </c>
      <c r="F78" s="15">
        <v>3.7511399999999999E-10</v>
      </c>
      <c r="G78" s="15">
        <v>1.01686E-10</v>
      </c>
      <c r="H78" s="15">
        <v>2.7381799999999999E-11</v>
      </c>
      <c r="I78" s="15">
        <v>7.2989299999999995E-12</v>
      </c>
      <c r="J78" s="15">
        <v>1.9346699999999999E-12</v>
      </c>
      <c r="K78" s="15">
        <v>5.9635500000000004E-13</v>
      </c>
      <c r="L78" s="24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</row>
    <row r="79" spans="1:32" x14ac:dyDescent="0.35">
      <c r="A79" t="str">
        <f>'wat types'!$A$11</f>
        <v xml:space="preserve">          co3-2          </v>
      </c>
      <c r="B79" s="15">
        <v>7.6804300000000002E-7</v>
      </c>
      <c r="C79" s="15">
        <v>7.2778000000000002E-7</v>
      </c>
      <c r="D79" s="15">
        <v>6.93488E-7</v>
      </c>
      <c r="E79" s="15">
        <v>6.6432399999999996E-7</v>
      </c>
      <c r="F79" s="15">
        <v>6.3977400000000002E-7</v>
      </c>
      <c r="G79" s="15">
        <v>6.1949699999999998E-7</v>
      </c>
      <c r="H79" s="15">
        <v>6.0327400000000003E-7</v>
      </c>
      <c r="I79" s="15">
        <v>5.9098900000000005E-7</v>
      </c>
      <c r="J79" s="15">
        <v>5.8263400000000003E-7</v>
      </c>
      <c r="K79" s="15">
        <v>5.7832499999999999E-7</v>
      </c>
      <c r="L79" s="24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</row>
    <row r="80" spans="1:32" x14ac:dyDescent="0.35">
      <c r="A80" s="2" t="s">
        <v>22</v>
      </c>
      <c r="B80" s="15"/>
      <c r="C80" s="15"/>
      <c r="D80" s="15"/>
      <c r="E80" s="15"/>
      <c r="F80" s="15"/>
      <c r="G80" s="15"/>
      <c r="H80" s="15"/>
      <c r="I80" s="15"/>
      <c r="J80" s="15"/>
      <c r="K80" s="15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</row>
    <row r="81" spans="1:32" x14ac:dyDescent="0.35">
      <c r="A81" t="s">
        <v>32</v>
      </c>
      <c r="B81" s="15">
        <v>-5.88274E-3</v>
      </c>
      <c r="C81" s="15">
        <v>-2.0229599999999999E-3</v>
      </c>
      <c r="D81" s="15">
        <v>-7.7257300000000003E-4</v>
      </c>
      <c r="E81" s="15">
        <v>-3.2136099999999999E-4</v>
      </c>
      <c r="F81" s="15">
        <v>-1.4326399999999999E-4</v>
      </c>
      <c r="G81" s="15">
        <v>-6.76261E-5</v>
      </c>
      <c r="H81" s="15">
        <v>-3.36353E-5</v>
      </c>
      <c r="I81" s="15">
        <v>-1.77743E-5</v>
      </c>
      <c r="J81" s="15">
        <v>-1.03703E-5</v>
      </c>
      <c r="K81" s="15">
        <v>-7.3773700000000003E-6</v>
      </c>
      <c r="L81" s="28">
        <f>ABS(1-B76*B77/(B73*chem!$H$21))</f>
        <v>5.532179637501855E-6</v>
      </c>
      <c r="M81" s="20">
        <f>ABS(1-C76*C77/(C73*chem!$H$21))</f>
        <v>1.4860721749831995E-6</v>
      </c>
      <c r="N81" s="20">
        <f>ABS(1-D76*D77/(D73*chem!$H$21))</f>
        <v>2.5739805652458259E-6</v>
      </c>
      <c r="O81" s="20">
        <f>ABS(1-E76*E77/(E73*chem!$H$21))</f>
        <v>3.5914155629424016E-6</v>
      </c>
      <c r="P81" s="20">
        <f>ABS(1-F76*F77/(F73*chem!$H$21))</f>
        <v>7.0379540639819993E-8</v>
      </c>
      <c r="Q81" s="20">
        <f>ABS(1-G76*G77/(G73*chem!$H$21))</f>
        <v>2.9391010214485647E-6</v>
      </c>
      <c r="R81" s="20">
        <f>ABS(1-H76*H77/(H73*chem!$H$21))</f>
        <v>6.2856034619418466E-6</v>
      </c>
      <c r="S81" s="20">
        <f>ABS(1-I76*I77/(I73*chem!$H$21))</f>
        <v>3.5347388118722733E-6</v>
      </c>
      <c r="T81" s="20">
        <f>ABS(1-J76*J77/(J73*chem!$H$21))</f>
        <v>5.8763716882515027E-6</v>
      </c>
      <c r="U81" s="20">
        <f>ABS(1-K76*K77/(K73*chem!$H$21))</f>
        <v>1.8728772999132559E-7</v>
      </c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</row>
    <row r="82" spans="1:32" x14ac:dyDescent="0.35">
      <c r="A82" t="s">
        <v>23</v>
      </c>
      <c r="B82" s="15">
        <v>-4.1331700000000001E-6</v>
      </c>
      <c r="C82" s="15">
        <v>-1.11927E-6</v>
      </c>
      <c r="D82" s="15">
        <v>-3.6303500000000002E-7</v>
      </c>
      <c r="E82" s="15">
        <v>-1.5349400000000001E-7</v>
      </c>
      <c r="F82" s="15">
        <v>-8.3224700000000003E-8</v>
      </c>
      <c r="G82" s="15">
        <v>-5.1146199999999998E-8</v>
      </c>
      <c r="H82" s="15">
        <v>-3.1630099999999998E-8</v>
      </c>
      <c r="I82" s="15">
        <v>-1.8074E-8</v>
      </c>
      <c r="J82" s="15">
        <v>-8.8933599999999996E-9</v>
      </c>
      <c r="K82" s="33">
        <v>-4.0369399999999999E-9</v>
      </c>
      <c r="L82" s="20">
        <f>ABS(1-B73*B79/(B77*chem!$N$32))</f>
        <v>5.3325174370622008E-6</v>
      </c>
      <c r="M82" s="20">
        <f>ABS(1-C73*C79/(C77*chem!$N$32))</f>
        <v>1.0790064739474303E-6</v>
      </c>
      <c r="N82" s="20">
        <f>ABS(1-D73*D79/(D77*chem!$N$32))</f>
        <v>3.5903601918185757E-6</v>
      </c>
      <c r="O82" s="20">
        <f>ABS(1-E73*E79/(E77*chem!$N$32))</f>
        <v>4.6538373248417031E-6</v>
      </c>
      <c r="P82" s="20">
        <f>ABS(1-F73*F79/(F77*chem!$N$32))</f>
        <v>1.0192229504824013E-7</v>
      </c>
      <c r="Q82" s="20">
        <f>ABS(1-G73*G79/(G77*chem!$N$32))</f>
        <v>3.0121332884602836E-6</v>
      </c>
      <c r="R82" s="20">
        <f>ABS(1-H73*H79/(H77*chem!$N$32))</f>
        <v>6.795635270062661E-6</v>
      </c>
      <c r="S82" s="20">
        <f>ABS(1-I73*I79/(I77*chem!$N$32))</f>
        <v>3.4905725245781838E-6</v>
      </c>
      <c r="T82" s="20">
        <f>ABS(1-J73*J79/(J77*chem!$N$32))</f>
        <v>6.1326624571922395E-6</v>
      </c>
      <c r="U82" s="20">
        <f>ABS(1-K73*K79/(K77*chem!$N$32))</f>
        <v>7.8490252253260451E-7</v>
      </c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</row>
    <row r="83" spans="1:32" x14ac:dyDescent="0.35">
      <c r="A83" s="2" t="s">
        <v>21</v>
      </c>
      <c r="B83" s="15"/>
      <c r="C83" s="15"/>
      <c r="D83" s="15"/>
      <c r="E83" s="15"/>
      <c r="F83" s="15"/>
      <c r="G83" s="15"/>
      <c r="H83" s="15"/>
      <c r="I83" s="15"/>
      <c r="J83" s="15"/>
      <c r="K83" s="33"/>
      <c r="L83" s="32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</row>
    <row r="84" spans="1:32" x14ac:dyDescent="0.35">
      <c r="A84" t="s">
        <v>24</v>
      </c>
      <c r="B84" s="15">
        <v>7.8516600000000001E-4</v>
      </c>
      <c r="C84" s="15">
        <v>1.8976299999999999E-4</v>
      </c>
      <c r="D84" s="15">
        <v>4.6703999999999999E-5</v>
      </c>
      <c r="E84" s="15">
        <v>1.1551499999999999E-5</v>
      </c>
      <c r="F84" s="15">
        <v>2.8620400000000001E-6</v>
      </c>
      <c r="G84" s="15">
        <v>7.0981000000000003E-7</v>
      </c>
      <c r="H84" s="15">
        <v>1.7618899999999999E-7</v>
      </c>
      <c r="I84" s="15">
        <v>4.3795500000000003E-8</v>
      </c>
      <c r="J84" s="15">
        <v>1.10133E-8</v>
      </c>
      <c r="K84" s="33">
        <v>3.2975699999999998E-9</v>
      </c>
      <c r="L84" s="27">
        <f>ABS(B84-chem!$E$5*B72*B78/((chem!$G$5+B72)*(chem!$I$5+B78)))</f>
        <v>1.7659821229063649E-10</v>
      </c>
      <c r="M84" s="27">
        <f>ABS(C84-chem!$E$5*C72*C78/((chem!$G$5+C72)*(chem!$I$5+C78)))</f>
        <v>7.3793038040249719E-10</v>
      </c>
      <c r="N84" s="27">
        <f>ABS(D84-chem!$E$5*D72*D78/((chem!$G$5+D72)*(chem!$I$5+D78)))</f>
        <v>2.7408176782024816E-11</v>
      </c>
      <c r="O84" s="27">
        <f>ABS(E84-chem!$E$5*E72*E78/((chem!$G$5+E72)*(chem!$I$5+E78)))</f>
        <v>7.1243140630533499E-11</v>
      </c>
      <c r="P84" s="27">
        <f>ABS(F84-chem!$E$5*F72*F78/((chem!$G$5+F72)*(chem!$I$5+F78)))</f>
        <v>3.9084407677703493E-12</v>
      </c>
      <c r="Q84" s="27">
        <f>ABS(G84-chem!$E$5*G72*G78/((chem!$G$5+G72)*(chem!$I$5+G78)))</f>
        <v>4.4574795457654983E-13</v>
      </c>
      <c r="R84" s="27">
        <f>ABS(H84-chem!$E$5*H72*H78/((chem!$G$5+H72)*(chem!$I$5+H78)))</f>
        <v>6.3701746768009963E-13</v>
      </c>
      <c r="S84" s="27">
        <f>ABS(I84-chem!$E$5*I72*I78/((chem!$G$5+I72)*(chem!$I$5+I78)))</f>
        <v>1.5351963613711385E-13</v>
      </c>
      <c r="T84" s="27">
        <f>ABS(J84-chem!$E$5*J72*J78/((chem!$G$5+J72)*(chem!$I$5+J78)))</f>
        <v>5.0358624858725199E-14</v>
      </c>
      <c r="U84" s="27">
        <f>ABS(K84-chem!$E$5*K72*K78/((chem!$G$5+K72)*(chem!$I$5+K78)))</f>
        <v>1.7792233254523927E-15</v>
      </c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</row>
    <row r="85" spans="1:32" x14ac:dyDescent="0.35">
      <c r="A85" t="s">
        <v>25</v>
      </c>
      <c r="B85" s="15">
        <v>2.94297E-3</v>
      </c>
      <c r="C85" s="15">
        <v>1.2124E-3</v>
      </c>
      <c r="D85" s="15">
        <v>5.2739799999999999E-4</v>
      </c>
      <c r="E85" s="15">
        <v>2.3907600000000001E-4</v>
      </c>
      <c r="F85" s="15">
        <v>1.12317E-4</v>
      </c>
      <c r="G85" s="15">
        <v>5.4633999999999999E-5</v>
      </c>
      <c r="H85" s="15">
        <v>2.7622300000000001E-5</v>
      </c>
      <c r="I85" s="15">
        <v>1.47217E-5</v>
      </c>
      <c r="J85" s="15">
        <v>8.6240799999999996E-6</v>
      </c>
      <c r="K85" s="34">
        <v>6.1441600000000001E-6</v>
      </c>
      <c r="L85" s="30">
        <f>ABS(B85-chem!$E$6*results!B72*results!B74*chem!$K$6/((chem!$G$6+results!B72)*(chem!$I$6+results!B74)*(chem!$K$6+results!B78)))</f>
        <v>8.0407458989684155E-10</v>
      </c>
      <c r="M85" s="30">
        <f>ABS(C85-chem!$E$6*results!C72*results!C74*chem!$K$6/((chem!$G$6+results!C72)*(chem!$I$6+results!C74)*(chem!$K$6+results!C78)))</f>
        <v>5.6859889155987803E-9</v>
      </c>
      <c r="N85" s="30">
        <f>ABS(D85-chem!$E$6*results!D72*results!D74*chem!$K$6/((chem!$G$6+results!D72)*(chem!$I$6+results!D74)*(chem!$K$6+results!D78)))</f>
        <v>1.2544425112386015E-9</v>
      </c>
      <c r="O85" s="30">
        <f>ABS(E85-chem!$E$6*results!E72*results!E74*chem!$K$6/((chem!$G$6+results!E72)*(chem!$I$6+results!E74)*(chem!$K$6+results!E78)))</f>
        <v>1.2804446744433054E-10</v>
      </c>
      <c r="P85" s="30">
        <f>ABS(F85-chem!$E$6*results!F72*results!F74*chem!$K$6/((chem!$G$6+results!F72)*(chem!$I$6+results!F74)*(chem!$K$6+results!F78)))</f>
        <v>2.2826439076049053E-11</v>
      </c>
      <c r="Q85" s="30">
        <f>ABS(G85-chem!$E$6*results!G72*results!G74*chem!$K$6/((chem!$G$6+results!G72)*(chem!$I$6+results!G74)*(chem!$K$6+results!G78)))</f>
        <v>1.051874231502146E-10</v>
      </c>
      <c r="R85" s="30">
        <f>ABS(H85-chem!$E$6*results!H72*results!H74*chem!$K$6/((chem!$G$6+results!H72)*(chem!$I$6+results!H74)*(chem!$K$6+results!H78)))</f>
        <v>2.0829115145724105E-11</v>
      </c>
      <c r="S85" s="30">
        <f>ABS(I85-chem!$E$6*results!I72*results!I74*chem!$K$6/((chem!$G$6+results!I72)*(chem!$I$6+results!I74)*(chem!$K$6+results!I78)))</f>
        <v>3.4588025960396161E-11</v>
      </c>
      <c r="T85" s="30">
        <f>ABS(J85-chem!$E$6*results!J72*results!J74*chem!$K$6/((chem!$G$6+results!J72)*(chem!$I$6+results!J74)*(chem!$K$6+results!J78)))</f>
        <v>1.4071552098518969E-11</v>
      </c>
      <c r="U85" s="30">
        <f>ABS(K85-chem!$E$6*results!K72*results!K74*chem!$K$6/((chem!$G$6+results!K72)*(chem!$I$6+results!K74)*(chem!$K$6+results!K78)))</f>
        <v>1.23307082606209E-12</v>
      </c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</row>
    <row r="86" spans="1:32" s="18" customFormat="1" x14ac:dyDescent="0.35">
      <c r="A86" s="16" t="s">
        <v>38</v>
      </c>
      <c r="B86" s="62" t="s">
        <v>90</v>
      </c>
      <c r="C86" s="62"/>
      <c r="D86" s="62"/>
      <c r="E86" s="62"/>
      <c r="F86" s="62"/>
      <c r="G86" s="62"/>
      <c r="H86" s="62"/>
      <c r="I86" s="62"/>
      <c r="J86" s="62"/>
      <c r="K86" s="62"/>
      <c r="L86" s="29" t="s">
        <v>60</v>
      </c>
    </row>
    <row r="87" spans="1:32" x14ac:dyDescent="0.35">
      <c r="A87" t="str">
        <f>'wat types'!$A$2</f>
        <v xml:space="preserve">          h2o(p)         </v>
      </c>
      <c r="B87" s="39">
        <v>55.555599999999998</v>
      </c>
      <c r="C87" s="39">
        <v>55.555599999999998</v>
      </c>
      <c r="D87" s="15">
        <v>55.555599999999998</v>
      </c>
      <c r="E87" s="15">
        <v>55.555599999999998</v>
      </c>
      <c r="F87" s="15">
        <v>55.555599999999998</v>
      </c>
      <c r="G87" s="15">
        <v>55.555599999999998</v>
      </c>
      <c r="H87" s="15">
        <v>55.555599999999998</v>
      </c>
      <c r="I87" s="15">
        <v>55.555599999999998</v>
      </c>
      <c r="J87" s="15">
        <v>55.555599999999998</v>
      </c>
      <c r="K87" s="15">
        <v>55.555599999999998</v>
      </c>
      <c r="L87" s="24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1"/>
      <c r="X87" s="1"/>
      <c r="Y87" s="1"/>
      <c r="Z87" s="1"/>
      <c r="AA87" s="1"/>
      <c r="AB87" s="1"/>
      <c r="AC87" s="1"/>
      <c r="AD87" s="1"/>
      <c r="AE87" s="1"/>
      <c r="AF87" s="1"/>
    </row>
    <row r="88" spans="1:32" x14ac:dyDescent="0.35">
      <c r="A88" t="str">
        <f>'wat types'!$A$3</f>
        <v xml:space="preserve">          cl-            </v>
      </c>
      <c r="B88" s="39">
        <v>9.2641000000000002E-4</v>
      </c>
      <c r="C88" s="39">
        <v>9.1956999999999998E-4</v>
      </c>
      <c r="D88" s="27">
        <v>9.1300099999999998E-4</v>
      </c>
      <c r="E88" s="27">
        <v>9.06812E-4</v>
      </c>
      <c r="F88" s="27">
        <v>9.0111900000000003E-4</v>
      </c>
      <c r="G88" s="27">
        <v>8.9604500000000004E-4</v>
      </c>
      <c r="H88" s="27">
        <v>8.9171699999999999E-4</v>
      </c>
      <c r="I88" s="27">
        <v>8.88268E-4</v>
      </c>
      <c r="J88" s="27">
        <v>8.8583100000000001E-4</v>
      </c>
      <c r="K88" s="27">
        <v>8.8454500000000004E-4</v>
      </c>
      <c r="L88" s="44"/>
      <c r="M88" s="40"/>
      <c r="N88" s="40"/>
      <c r="O88" s="40"/>
      <c r="P88" s="40"/>
      <c r="Q88" s="40"/>
      <c r="R88" s="40"/>
      <c r="S88" s="20"/>
      <c r="T88" s="20"/>
      <c r="U88" s="20"/>
      <c r="V88" s="20"/>
      <c r="W88" s="1"/>
      <c r="X88" s="1"/>
      <c r="Y88" s="1"/>
      <c r="Z88" s="1"/>
      <c r="AA88" s="1"/>
      <c r="AB88" s="1"/>
      <c r="AC88" s="1"/>
      <c r="AD88" s="1"/>
      <c r="AE88" s="1"/>
      <c r="AF88" s="1"/>
    </row>
    <row r="89" spans="1:32" x14ac:dyDescent="0.35">
      <c r="A89" t="str">
        <f>'wat types'!$A$4</f>
        <v xml:space="preserve">          ch2o(aq)       </v>
      </c>
      <c r="B89" s="39">
        <v>5.0396299999999996E-4</v>
      </c>
      <c r="C89" s="39">
        <v>4.7437E-4</v>
      </c>
      <c r="D89" s="15">
        <v>4.6058900000000002E-4</v>
      </c>
      <c r="E89" s="15">
        <v>4.5326399999999999E-4</v>
      </c>
      <c r="F89" s="15">
        <v>4.4871100000000002E-4</v>
      </c>
      <c r="G89" s="15">
        <v>4.4548400000000001E-4</v>
      </c>
      <c r="H89" s="15">
        <v>4.4304000000000001E-4</v>
      </c>
      <c r="I89" s="15">
        <v>4.4120200000000002E-4</v>
      </c>
      <c r="J89" s="15">
        <v>4.3993800000000002E-4</v>
      </c>
      <c r="K89" s="15">
        <v>4.3927799999999998E-4</v>
      </c>
      <c r="L89" s="24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</row>
    <row r="90" spans="1:32" x14ac:dyDescent="0.35">
      <c r="A90" t="str">
        <f>'wat types'!$A$5</f>
        <v xml:space="preserve">          h+             </v>
      </c>
      <c r="B90" s="39">
        <v>7.3874799999999994E-8</v>
      </c>
      <c r="C90" s="39">
        <v>7.5925E-8</v>
      </c>
      <c r="D90" s="15">
        <v>7.7250400000000002E-8</v>
      </c>
      <c r="E90" s="15">
        <v>7.8241099999999998E-8</v>
      </c>
      <c r="F90" s="15">
        <v>7.9047299999999996E-8</v>
      </c>
      <c r="G90" s="15">
        <v>7.9722099999999996E-8</v>
      </c>
      <c r="H90" s="15">
        <v>8.0278899999999995E-8</v>
      </c>
      <c r="I90" s="15">
        <v>8.0714599999999997E-8</v>
      </c>
      <c r="J90" s="15">
        <v>8.1019099999999998E-8</v>
      </c>
      <c r="K90" s="15">
        <v>8.1179000000000002E-8</v>
      </c>
      <c r="L90" s="24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</row>
    <row r="91" spans="1:32" x14ac:dyDescent="0.35">
      <c r="A91" t="str">
        <f>'wat types'!$A$6</f>
        <v xml:space="preserve">          no3-           </v>
      </c>
      <c r="B91" s="39">
        <v>3.4959100000000002E-5</v>
      </c>
      <c r="C91" s="39">
        <v>1.40518E-5</v>
      </c>
      <c r="D91" s="15">
        <v>5.6646900000000003E-6</v>
      </c>
      <c r="E91" s="15">
        <v>2.2852900000000001E-6</v>
      </c>
      <c r="F91" s="15">
        <v>9.2259800000000001E-7</v>
      </c>
      <c r="G91" s="15">
        <v>3.7278700000000001E-7</v>
      </c>
      <c r="H91" s="15">
        <v>1.5085300000000001E-7</v>
      </c>
      <c r="I91" s="15">
        <v>6.1408200000000001E-8</v>
      </c>
      <c r="J91" s="15">
        <v>2.5913100000000001E-8</v>
      </c>
      <c r="K91" s="15">
        <v>1.34047E-8</v>
      </c>
      <c r="L91" s="24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</row>
    <row r="92" spans="1:32" x14ac:dyDescent="0.35">
      <c r="A92" t="str">
        <f>'wat types'!$A$7</f>
        <v xml:space="preserve">          n2(aq)(p)      </v>
      </c>
      <c r="B92" s="39">
        <v>4.46093E-4</v>
      </c>
      <c r="C92" s="39">
        <v>4.5316099999999999E-4</v>
      </c>
      <c r="D92" s="15">
        <v>4.5410300000000003E-4</v>
      </c>
      <c r="E92" s="15">
        <v>4.5272900000000002E-4</v>
      </c>
      <c r="F92" s="15">
        <v>4.50593E-4</v>
      </c>
      <c r="G92" s="15">
        <v>4.4835600000000001E-4</v>
      </c>
      <c r="H92" s="15">
        <v>4.4632500000000002E-4</v>
      </c>
      <c r="I92" s="15">
        <v>4.4466200000000002E-4</v>
      </c>
      <c r="J92" s="15">
        <v>4.43473E-4</v>
      </c>
      <c r="K92" s="15">
        <v>4.42843E-4</v>
      </c>
      <c r="L92" s="24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</row>
    <row r="93" spans="1:32" x14ac:dyDescent="0.35">
      <c r="A93" t="str">
        <f>'wat types'!$A$8</f>
        <v xml:space="preserve">          ca+2           </v>
      </c>
      <c r="B93" s="39">
        <v>2.1921900000000001E-3</v>
      </c>
      <c r="C93" s="39">
        <v>2.23332E-3</v>
      </c>
      <c r="D93" s="15">
        <v>2.2698800000000002E-3</v>
      </c>
      <c r="E93" s="15">
        <v>2.3031800000000002E-3</v>
      </c>
      <c r="F93" s="15">
        <v>2.3333799999999999E-3</v>
      </c>
      <c r="G93" s="15">
        <v>2.3601300000000002E-3</v>
      </c>
      <c r="H93" s="15">
        <v>2.3828899999999999E-3</v>
      </c>
      <c r="I93" s="15">
        <v>2.4009999999999999E-3</v>
      </c>
      <c r="J93" s="15">
        <v>2.4137899999999999E-3</v>
      </c>
      <c r="K93" s="15">
        <v>2.4205400000000001E-3</v>
      </c>
      <c r="L93" s="24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</row>
    <row r="94" spans="1:32" x14ac:dyDescent="0.35">
      <c r="A94" t="str">
        <f>'wat types'!$A$9</f>
        <v xml:space="preserve">          hco3-          </v>
      </c>
      <c r="B94" s="39">
        <v>2.3785799999999999E-3</v>
      </c>
      <c r="C94" s="39">
        <v>2.3995700000000002E-3</v>
      </c>
      <c r="D94" s="15">
        <v>2.4021400000000001E-3</v>
      </c>
      <c r="E94" s="15">
        <v>2.3977600000000001E-3</v>
      </c>
      <c r="F94" s="15">
        <v>2.3911200000000001E-3</v>
      </c>
      <c r="G94" s="15">
        <v>2.3841999999999999E-3</v>
      </c>
      <c r="H94" s="15">
        <v>2.3779199999999999E-3</v>
      </c>
      <c r="I94" s="15">
        <v>2.3727900000000001E-3</v>
      </c>
      <c r="J94" s="15">
        <v>2.3691300000000001E-3</v>
      </c>
      <c r="K94" s="15">
        <v>2.36718E-3</v>
      </c>
      <c r="L94" s="24"/>
    </row>
    <row r="95" spans="1:32" x14ac:dyDescent="0.35">
      <c r="A95" t="str">
        <f>'wat types'!$A$10</f>
        <v xml:space="preserve">          o2(aq)         </v>
      </c>
      <c r="B95" s="39">
        <v>4.7104000000000003E-8</v>
      </c>
      <c r="C95" s="39">
        <v>1.18008E-8</v>
      </c>
      <c r="D95" s="15">
        <v>2.9555E-9</v>
      </c>
      <c r="E95" s="15">
        <v>7.3715700000000004E-10</v>
      </c>
      <c r="F95" s="15">
        <v>1.8334699999999999E-10</v>
      </c>
      <c r="G95" s="15">
        <v>4.55278E-11</v>
      </c>
      <c r="H95" s="15">
        <v>1.1293300000000001E-11</v>
      </c>
      <c r="I95" s="15">
        <v>2.8005100000000002E-12</v>
      </c>
      <c r="J95" s="15">
        <v>7.0127099999999997E-13</v>
      </c>
      <c r="K95" s="15">
        <v>2.0859E-13</v>
      </c>
      <c r="L95" s="24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</row>
    <row r="96" spans="1:32" x14ac:dyDescent="0.35">
      <c r="A96" t="str">
        <f>'wat types'!$A$11</f>
        <v xml:space="preserve">          co3-2          </v>
      </c>
      <c r="B96" s="39">
        <v>1.5101500000000001E-6</v>
      </c>
      <c r="C96" s="39">
        <v>1.48234E-6</v>
      </c>
      <c r="D96" s="15">
        <v>1.4584699999999999E-6</v>
      </c>
      <c r="E96" s="15">
        <v>1.4373800000000001E-6</v>
      </c>
      <c r="F96" s="15">
        <v>1.4187799999999999E-6</v>
      </c>
      <c r="G96" s="15">
        <v>1.4026999999999999E-6</v>
      </c>
      <c r="H96" s="15">
        <v>1.3893E-6</v>
      </c>
      <c r="I96" s="15">
        <v>1.37882E-6</v>
      </c>
      <c r="J96" s="15">
        <v>1.37152E-6</v>
      </c>
      <c r="K96" s="15">
        <v>1.36769E-6</v>
      </c>
      <c r="L96" s="24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</row>
    <row r="97" spans="1:32" x14ac:dyDescent="0.35">
      <c r="A97" s="2" t="s">
        <v>22</v>
      </c>
      <c r="B97" s="15"/>
      <c r="C97" s="15"/>
      <c r="D97" s="15"/>
      <c r="E97" s="15"/>
      <c r="F97" s="15"/>
      <c r="G97" s="15"/>
      <c r="H97" s="15"/>
      <c r="I97" s="15"/>
      <c r="J97" s="15"/>
      <c r="K97" s="15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</row>
    <row r="98" spans="1:32" x14ac:dyDescent="0.35">
      <c r="A98" t="s">
        <v>32</v>
      </c>
      <c r="B98" s="15">
        <v>-6.0890500000000004E-3</v>
      </c>
      <c r="C98" s="15">
        <v>-2.0106799999999999E-3</v>
      </c>
      <c r="D98" s="15">
        <v>-7.0935099999999999E-4</v>
      </c>
      <c r="E98" s="15">
        <v>-2.6166900000000002E-4</v>
      </c>
      <c r="F98" s="15">
        <v>-9.9555600000000006E-5</v>
      </c>
      <c r="G98" s="15">
        <v>-3.8687399999999998E-5</v>
      </c>
      <c r="H98" s="15">
        <v>-1.5259200000000001E-5</v>
      </c>
      <c r="I98" s="15">
        <v>-6.10787E-6</v>
      </c>
      <c r="J98" s="15">
        <v>-2.5493299999999999E-6</v>
      </c>
      <c r="K98" s="15">
        <v>-1.3103599999999999E-6</v>
      </c>
      <c r="L98" s="28">
        <f>ABS(1-B93*B94/(B90*chem!$H$21))</f>
        <v>8.3575265663604625E-7</v>
      </c>
      <c r="M98" s="20">
        <f>ABS(1-C93*C94/(C90*chem!$H$21))</f>
        <v>9.7117059194573585E-7</v>
      </c>
      <c r="N98" s="20">
        <f>ABS(1-D93*D94/(D90*chem!$H$21))</f>
        <v>1.0971885362476286E-6</v>
      </c>
      <c r="O98" s="20">
        <f>ABS(1-E93*E94/(E90*chem!$H$21))</f>
        <v>3.1224622631942367E-6</v>
      </c>
      <c r="P98" s="20">
        <f>ABS(1-F93*F94/(F90*chem!$H$21))</f>
        <v>4.5430051465178423E-7</v>
      </c>
      <c r="Q98" s="20">
        <f>ABS(1-G93*G94/(G90*chem!$H$21))</f>
        <v>2.7906331589999667E-7</v>
      </c>
      <c r="R98" s="20">
        <f>ABS(1-H93*H94/(H90*chem!$H$21))</f>
        <v>4.114912712793739E-7</v>
      </c>
      <c r="S98" s="20">
        <f>ABS(1-I93*I94/(I90*chem!$H$21))</f>
        <v>1.4631221844085829E-6</v>
      </c>
      <c r="T98" s="20">
        <f>ABS(1-J93*J94/(J90*chem!$H$21))</f>
        <v>2.2137156541202074E-6</v>
      </c>
      <c r="U98" s="20">
        <f>ABS(1-K93*K94/(K90*chem!$H$21))</f>
        <v>3.4642554835873085E-7</v>
      </c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</row>
    <row r="99" spans="1:32" x14ac:dyDescent="0.35">
      <c r="A99" t="s">
        <v>23</v>
      </c>
      <c r="B99" s="15">
        <v>-2.2520300000000002E-6</v>
      </c>
      <c r="C99" s="15">
        <v>-6.2801499999999995E-7</v>
      </c>
      <c r="D99" s="15">
        <v>-1.9689599999999999E-7</v>
      </c>
      <c r="E99" s="15">
        <v>-7.3167400000000004E-8</v>
      </c>
      <c r="F99" s="15">
        <v>-3.3620599999999999E-8</v>
      </c>
      <c r="G99" s="15">
        <v>-1.8408900000000001E-8</v>
      </c>
      <c r="H99" s="15">
        <v>-1.0828699999999999E-8</v>
      </c>
      <c r="I99" s="15">
        <v>-6.1248600000000003E-9</v>
      </c>
      <c r="J99" s="15">
        <v>-3.03527E-9</v>
      </c>
      <c r="K99" s="33">
        <v>-1.39743E-9</v>
      </c>
      <c r="L99" s="20">
        <f>ABS(1-B90*B96/(B94*chem!$N$32))</f>
        <v>3.1262867087322732E-6</v>
      </c>
      <c r="M99" s="20">
        <f>ABS(1-C90*C96/(C94*chem!$N$32))</f>
        <v>1.830848806116947E-6</v>
      </c>
      <c r="N99" s="20">
        <f>ABS(1-D90*D96/(D94*chem!$N$32))</f>
        <v>1.793393822335787E-7</v>
      </c>
      <c r="O99" s="20">
        <f>ABS(1-E90*E96/(E94*chem!$N$32))</f>
        <v>1.9212728168405135E-6</v>
      </c>
      <c r="P99" s="20">
        <f>ABS(1-F90*F96/(F94*chem!$N$32))</f>
        <v>1.6720400823899695E-6</v>
      </c>
      <c r="Q99" s="20">
        <f>ABS(1-G90*G96/(G94*chem!$N$32))</f>
        <v>1.9422272976576949E-6</v>
      </c>
      <c r="R99" s="20">
        <f>ABS(1-H90*H96/(H94*chem!$N$32))</f>
        <v>4.815655918477546E-7</v>
      </c>
      <c r="S99" s="20">
        <f>ABS(1-I90*I96/(I94*chem!$N$32))</f>
        <v>8.5143748607130476E-7</v>
      </c>
      <c r="T99" s="20">
        <f>ABS(1-J90*J96/(J94*chem!$N$32))</f>
        <v>1.5366511654235637E-6</v>
      </c>
      <c r="U99" s="20">
        <f>ABS(1-K90*K96/(K94*chem!$N$32))</f>
        <v>1.9768405823405999E-7</v>
      </c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</row>
    <row r="100" spans="1:32" x14ac:dyDescent="0.35">
      <c r="A100" s="2" t="s">
        <v>21</v>
      </c>
      <c r="B100" s="15"/>
      <c r="C100" s="15"/>
      <c r="D100" s="15"/>
      <c r="E100" s="15"/>
      <c r="F100" s="15"/>
      <c r="G100" s="15"/>
      <c r="H100" s="15"/>
      <c r="I100" s="15"/>
      <c r="J100" s="15"/>
      <c r="K100" s="33"/>
      <c r="L100" s="32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</row>
    <row r="101" spans="1:32" x14ac:dyDescent="0.35">
      <c r="A101" t="s">
        <v>24</v>
      </c>
      <c r="B101" s="15">
        <v>7.8550400000000002E-4</v>
      </c>
      <c r="C101" s="15">
        <v>1.89619E-4</v>
      </c>
      <c r="D101" s="15">
        <v>4.6586299999999998E-5</v>
      </c>
      <c r="E101" s="15">
        <v>1.1494900000000001E-5</v>
      </c>
      <c r="F101" s="15">
        <v>2.8393699999999999E-6</v>
      </c>
      <c r="G101" s="15">
        <v>7.0155799999999999E-7</v>
      </c>
      <c r="H101" s="15">
        <v>1.7336299999999999E-7</v>
      </c>
      <c r="I101" s="15">
        <v>4.28667E-8</v>
      </c>
      <c r="J101" s="15">
        <v>1.07128E-8</v>
      </c>
      <c r="K101" s="33">
        <v>3.1831500000000001E-9</v>
      </c>
      <c r="L101" s="27">
        <f>ABS(B101-chem!$E$5*B89*B95/((chem!$G$5+B89)*(chem!$I$5+B95)))</f>
        <v>9.9700117953127609E-12</v>
      </c>
      <c r="M101" s="27">
        <f>ABS(C101-chem!$E$5*C89*C95/((chem!$G$5+C89)*(chem!$I$5+C95)))</f>
        <v>8.1532021523164806E-10</v>
      </c>
      <c r="N101" s="27">
        <f>ABS(D101-chem!$E$5*D89*D95/((chem!$G$5+D89)*(chem!$I$5+D95)))</f>
        <v>5.5396909932545202E-12</v>
      </c>
      <c r="O101" s="27">
        <f>ABS(E101-chem!$E$5*E89*E95/((chem!$G$5+E89)*(chem!$I$5+E95)))</f>
        <v>1.3252730112121532E-11</v>
      </c>
      <c r="P101" s="27">
        <f>ABS(F101-chem!$E$5*F89*F95/((chem!$G$5+F89)*(chem!$I$5+F95)))</f>
        <v>7.7202815063699866E-12</v>
      </c>
      <c r="Q101" s="27">
        <f>ABS(G101-chem!$E$5*G89*G95/((chem!$G$5+G89)*(chem!$I$5+G95)))</f>
        <v>1.0947466992986248E-13</v>
      </c>
      <c r="R101" s="27">
        <f>ABS(H101-chem!$E$5*H89*H95/((chem!$G$5+H89)*(chem!$I$5+H95)))</f>
        <v>5.8518353115951536E-13</v>
      </c>
      <c r="S101" s="27">
        <f>ABS(I101-chem!$E$5*I89*I95/((chem!$G$5+I89)*(chem!$I$5+I95)))</f>
        <v>4.1925985731826831E-14</v>
      </c>
      <c r="T101" s="27">
        <f>ABS(J101-chem!$E$5*J89*J95/((chem!$G$5+J89)*(chem!$I$5+J95)))</f>
        <v>1.3314277624685801E-14</v>
      </c>
      <c r="U101" s="27">
        <f>ABS(K101-chem!$E$5*K89*K95/((chem!$G$5+K89)*(chem!$I$5+K95)))</f>
        <v>8.3651216356051307E-15</v>
      </c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</row>
    <row r="102" spans="1:32" s="52" customFormat="1" x14ac:dyDescent="0.35">
      <c r="A102" s="52" t="s">
        <v>25</v>
      </c>
      <c r="B102" s="53">
        <v>3.1124500000000001E-3</v>
      </c>
      <c r="C102" s="53">
        <v>1.2020900000000001E-3</v>
      </c>
      <c r="D102" s="53">
        <v>4.74842E-4</v>
      </c>
      <c r="E102" s="53">
        <v>1.89388E-4</v>
      </c>
      <c r="F102" s="53">
        <v>7.5895699999999999E-5</v>
      </c>
      <c r="G102" s="53">
        <v>3.0502300000000001E-5</v>
      </c>
      <c r="H102" s="53">
        <v>1.2292200000000001E-5</v>
      </c>
      <c r="I102" s="53">
        <v>4.9880999999999997E-6</v>
      </c>
      <c r="J102" s="53">
        <v>2.1003099999999999E-6</v>
      </c>
      <c r="K102" s="34">
        <v>1.08524E-6</v>
      </c>
      <c r="L102" s="30">
        <f>ABS(B102-chem!$E$6*results!B89*results!B91*chem!$K$6/((chem!$G$6+results!B89)*(chem!$I$6+results!B91)*(chem!$K$6+results!B95)))</f>
        <v>5.4096804674719223E-9</v>
      </c>
      <c r="M102" s="30">
        <f>ABS(C102-chem!$E$6*results!C89*results!C91*chem!$K$6/((chem!$G$6+results!C89)*(chem!$I$6+results!C91)*(chem!$K$6+results!C95)))</f>
        <v>4.3959281776761311E-9</v>
      </c>
      <c r="N102" s="30">
        <f>ABS(D102-chem!$E$6*results!D89*results!D91*chem!$K$6/((chem!$G$6+results!D89)*(chem!$I$6+results!D91)*(chem!$K$6+results!D95)))</f>
        <v>4.5265586694513346E-10</v>
      </c>
      <c r="O102" s="30">
        <f>ABS(E102-chem!$E$6*results!E89*results!E91*chem!$K$6/((chem!$G$6+results!E89)*(chem!$I$6+results!E91)*(chem!$K$6+results!E95)))</f>
        <v>4.6576235408638325E-11</v>
      </c>
      <c r="P102" s="30">
        <f>ABS(F102-chem!$E$6*results!F89*results!F91*chem!$K$6/((chem!$G$6+results!F89)*(chem!$I$6+results!F91)*(chem!$K$6+results!F95)))</f>
        <v>9.3205962018545405E-12</v>
      </c>
      <c r="Q102" s="30">
        <f>ABS(G102-chem!$E$6*results!G89*results!G91*chem!$K$6/((chem!$G$6+results!G89)*(chem!$I$6+results!G91)*(chem!$K$6+results!G95)))</f>
        <v>1.7082182443193226E-11</v>
      </c>
      <c r="R102" s="30">
        <f>ABS(H102-chem!$E$6*results!H89*results!H91*chem!$K$6/((chem!$G$6+results!H89)*(chem!$I$6+results!H91)*(chem!$K$6+results!H95)))</f>
        <v>2.2745474440757202E-11</v>
      </c>
      <c r="S102" s="30">
        <f>ABS(I102-chem!$E$6*results!I89*results!I91*chem!$K$6/((chem!$G$6+results!I89)*(chem!$I$6+results!I91)*(chem!$K$6+results!I95)))</f>
        <v>7.6500750882102227E-12</v>
      </c>
      <c r="T102" s="30">
        <f>ABS(J102-chem!$E$6*results!J89*results!J91*chem!$K$6/((chem!$G$6+results!J89)*(chem!$I$6+results!J91)*(chem!$K$6+results!J95)))</f>
        <v>1.5600016023159958E-12</v>
      </c>
      <c r="U102" s="30">
        <f>ABS(K102-chem!$E$6*results!K89*results!K91*chem!$K$6/((chem!$G$6+results!K89)*(chem!$I$6+results!K91)*(chem!$K$6+results!K95)))</f>
        <v>9.4219804903752956E-13</v>
      </c>
      <c r="V102" s="54"/>
      <c r="W102" s="54"/>
      <c r="X102" s="54"/>
      <c r="Y102" s="54"/>
      <c r="Z102" s="54"/>
      <c r="AA102" s="54"/>
      <c r="AB102" s="54"/>
      <c r="AC102" s="54"/>
      <c r="AD102" s="54"/>
      <c r="AE102" s="54"/>
      <c r="AF102" s="54"/>
    </row>
  </sheetData>
  <mergeCells count="6">
    <mergeCell ref="B86:K86"/>
    <mergeCell ref="B5:K5"/>
    <mergeCell ref="B18:K18"/>
    <mergeCell ref="B35:K35"/>
    <mergeCell ref="B52:K52"/>
    <mergeCell ref="B69:K69"/>
  </mergeCells>
  <pageMargins left="0.7" right="0.7" top="0.75" bottom="0.75" header="0.3" footer="0.3"/>
  <pageSetup paperSize="9" orientation="portrait" horizontalDpi="30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228477-0632-4CB7-8BDC-B80A582AAF78}">
  <dimension ref="A1"/>
  <sheetViews>
    <sheetView zoomScaleNormal="100" workbookViewId="0">
      <selection activeCell="K33" sqref="K33"/>
    </sheetView>
  </sheetViews>
  <sheetFormatPr baseColWidth="10" defaultRowHeight="14.5" x14ac:dyDescent="0.3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README</vt:lpstr>
      <vt:lpstr>transport</vt:lpstr>
      <vt:lpstr>lambdas</vt:lpstr>
      <vt:lpstr>chem</vt:lpstr>
      <vt:lpstr>wat types</vt:lpstr>
      <vt:lpstr>results</vt:lpstr>
      <vt:lpstr>figures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user2319</dc:creator>
  <cp:lastModifiedBy>Jordi Petchamé Guerrero</cp:lastModifiedBy>
  <dcterms:created xsi:type="dcterms:W3CDTF">2024-09-23T10:10:27Z</dcterms:created>
  <dcterms:modified xsi:type="dcterms:W3CDTF">2026-05-10T17:34:55Z</dcterms:modified>
</cp:coreProperties>
</file>